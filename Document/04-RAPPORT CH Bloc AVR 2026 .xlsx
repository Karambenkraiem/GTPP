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4580" yWindow="-135" windowWidth="16170" windowHeight="12135" firstSheet="14" activeTab="29"/>
  </bookViews>
  <sheets>
    <sheet name="jour 01" sheetId="68" r:id="rId1"/>
    <sheet name="jour 02" sheetId="69" r:id="rId2"/>
    <sheet name="jour 03" sheetId="70" r:id="rId3"/>
    <sheet name="jour 04" sheetId="71" r:id="rId4"/>
    <sheet name="jour 05" sheetId="72" r:id="rId5"/>
    <sheet name="jour 06" sheetId="73" r:id="rId6"/>
    <sheet name="jour 07" sheetId="74" r:id="rId7"/>
    <sheet name="jour 08" sheetId="75" r:id="rId8"/>
    <sheet name="jour 09" sheetId="76" r:id="rId9"/>
    <sheet name="jour 10" sheetId="77" r:id="rId10"/>
    <sheet name="jour 11" sheetId="78" r:id="rId11"/>
    <sheet name="jour 12" sheetId="79" r:id="rId12"/>
    <sheet name="jour 13" sheetId="80" r:id="rId13"/>
    <sheet name="jour 14" sheetId="81" r:id="rId14"/>
    <sheet name="jour 15" sheetId="82" r:id="rId15"/>
    <sheet name="jour 16" sheetId="83" r:id="rId16"/>
    <sheet name="jour 17" sheetId="84" r:id="rId17"/>
    <sheet name="jour 18" sheetId="85" r:id="rId18"/>
    <sheet name="jour 19" sheetId="86" r:id="rId19"/>
    <sheet name="jour 20" sheetId="87" r:id="rId20"/>
    <sheet name="jour 21" sheetId="88" r:id="rId21"/>
    <sheet name="jour 22" sheetId="89" r:id="rId22"/>
    <sheet name="jour 23" sheetId="90" r:id="rId23"/>
    <sheet name="jour 24" sheetId="91" r:id="rId24"/>
    <sheet name="jour 25" sheetId="92" r:id="rId25"/>
    <sheet name="jour 26" sheetId="93" r:id="rId26"/>
    <sheet name="jour 27" sheetId="94" r:id="rId27"/>
    <sheet name="jour 28" sheetId="95" r:id="rId28"/>
    <sheet name="jour 29" sheetId="96" r:id="rId29"/>
    <sheet name="jour 30" sheetId="97" r:id="rId30"/>
  </sheets>
  <definedNames>
    <definedName name="liste1" localSheetId="0">'jour 01'!#REF!</definedName>
    <definedName name="liste1" localSheetId="1">'jour 02'!#REF!</definedName>
    <definedName name="liste1" localSheetId="2">'jour 03'!#REF!</definedName>
    <definedName name="liste1" localSheetId="3">'jour 04'!#REF!</definedName>
    <definedName name="liste1" localSheetId="4">'jour 05'!#REF!</definedName>
    <definedName name="liste1" localSheetId="5">'jour 06'!#REF!</definedName>
    <definedName name="liste1" localSheetId="6">'jour 07'!#REF!</definedName>
    <definedName name="liste1" localSheetId="7">'jour 08'!#REF!</definedName>
    <definedName name="liste1" localSheetId="8">'jour 09'!#REF!</definedName>
    <definedName name="liste1" localSheetId="9">'jour 10'!#REF!</definedName>
    <definedName name="liste1" localSheetId="10">'jour 11'!#REF!</definedName>
    <definedName name="liste1" localSheetId="11">'jour 12'!#REF!</definedName>
    <definedName name="liste1" localSheetId="12">'jour 13'!#REF!</definedName>
    <definedName name="liste1" localSheetId="13">'jour 14'!#REF!</definedName>
    <definedName name="liste1" localSheetId="14">'jour 15'!#REF!</definedName>
    <definedName name="liste1" localSheetId="15">'jour 16'!#REF!</definedName>
    <definedName name="liste1" localSheetId="16">'jour 17'!#REF!</definedName>
    <definedName name="liste1" localSheetId="17">'jour 18'!#REF!</definedName>
    <definedName name="liste1" localSheetId="18">'jour 19'!#REF!</definedName>
    <definedName name="liste1" localSheetId="19">'jour 20'!#REF!</definedName>
    <definedName name="liste1" localSheetId="20">'jour 21'!#REF!</definedName>
    <definedName name="liste1" localSheetId="21">'jour 22'!#REF!</definedName>
    <definedName name="liste1" localSheetId="22">'jour 23'!#REF!</definedName>
    <definedName name="liste1" localSheetId="23">'jour 24'!#REF!</definedName>
    <definedName name="liste1" localSheetId="24">'jour 25'!#REF!</definedName>
    <definedName name="liste1" localSheetId="25">'jour 26'!#REF!</definedName>
    <definedName name="liste1" localSheetId="26">'jour 27'!#REF!</definedName>
    <definedName name="liste1" localSheetId="27">'jour 28'!#REF!</definedName>
    <definedName name="liste1" localSheetId="28">'jour 29'!#REF!</definedName>
    <definedName name="liste1" localSheetId="29">'jour 30'!#REF!</definedName>
    <definedName name="liste1">#REF!</definedName>
  </definedNames>
  <calcPr calcId="124519"/>
</workbook>
</file>

<file path=xl/calcChain.xml><?xml version="1.0" encoding="utf-8"?>
<calcChain xmlns="http://schemas.openxmlformats.org/spreadsheetml/2006/main">
  <c r="L42" i="97"/>
  <c r="L41"/>
  <c r="L40"/>
  <c r="W21" s="1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L25" s="1"/>
  <c r="W26" s="1"/>
  <c r="W18"/>
  <c r="W17"/>
  <c r="E17"/>
  <c r="C17"/>
  <c r="A17"/>
  <c r="M13"/>
  <c r="W28" s="1"/>
  <c r="M12"/>
  <c r="M11"/>
  <c r="M10"/>
  <c r="W25" s="1"/>
  <c r="G17" l="1"/>
  <c r="W27"/>
  <c r="L42" i="96" l="1"/>
  <c r="L41"/>
  <c r="L40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L25" s="1"/>
  <c r="W26" s="1"/>
  <c r="W21"/>
  <c r="W18"/>
  <c r="W17"/>
  <c r="E17"/>
  <c r="C17"/>
  <c r="A17"/>
  <c r="M13"/>
  <c r="W28" s="1"/>
  <c r="M12"/>
  <c r="M11"/>
  <c r="M10"/>
  <c r="W25" s="1"/>
  <c r="L42" i="95"/>
  <c r="L41"/>
  <c r="L40"/>
  <c r="W21" s="1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L25" s="1"/>
  <c r="W26" s="1"/>
  <c r="W18"/>
  <c r="W17"/>
  <c r="E17"/>
  <c r="C17"/>
  <c r="A17"/>
  <c r="M13"/>
  <c r="W28" s="1"/>
  <c r="M12"/>
  <c r="M11"/>
  <c r="M10"/>
  <c r="W25" s="1"/>
  <c r="L42" i="94"/>
  <c r="L41"/>
  <c r="L40"/>
  <c r="W21" s="1"/>
  <c r="L39"/>
  <c r="W19" s="1"/>
  <c r="L36"/>
  <c r="L35"/>
  <c r="L34"/>
  <c r="L33"/>
  <c r="W20" s="1"/>
  <c r="L32"/>
  <c r="L30"/>
  <c r="L29"/>
  <c r="W23" s="1"/>
  <c r="W24"/>
  <c r="L24"/>
  <c r="H24"/>
  <c r="D24"/>
  <c r="L25" s="1"/>
  <c r="W26" s="1"/>
  <c r="W22"/>
  <c r="W18"/>
  <c r="W17"/>
  <c r="E17"/>
  <c r="C17"/>
  <c r="A17"/>
  <c r="M13"/>
  <c r="W28" s="1"/>
  <c r="M12"/>
  <c r="M11"/>
  <c r="M10"/>
  <c r="W25" s="1"/>
  <c r="L42" i="93"/>
  <c r="L41"/>
  <c r="L40"/>
  <c r="W21" s="1"/>
  <c r="L39"/>
  <c r="W19" s="1"/>
  <c r="L36"/>
  <c r="W22" s="1"/>
  <c r="L35"/>
  <c r="L34"/>
  <c r="L33"/>
  <c r="L32"/>
  <c r="L30"/>
  <c r="W24" s="1"/>
  <c r="L29"/>
  <c r="W23" s="1"/>
  <c r="L24"/>
  <c r="H24"/>
  <c r="D24"/>
  <c r="W20"/>
  <c r="W18"/>
  <c r="W17"/>
  <c r="E17"/>
  <c r="C17"/>
  <c r="A17"/>
  <c r="M13"/>
  <c r="W28" s="1"/>
  <c r="M12"/>
  <c r="M11"/>
  <c r="M10"/>
  <c r="W25" s="1"/>
  <c r="L42" i="92"/>
  <c r="L41"/>
  <c r="L40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W21"/>
  <c r="W18"/>
  <c r="W17"/>
  <c r="E17"/>
  <c r="C17"/>
  <c r="A17"/>
  <c r="M13"/>
  <c r="W28" s="1"/>
  <c r="M12"/>
  <c r="M11"/>
  <c r="M10"/>
  <c r="W25" s="1"/>
  <c r="L42" i="91"/>
  <c r="L41"/>
  <c r="L40"/>
  <c r="W21" s="1"/>
  <c r="L39"/>
  <c r="W19" s="1"/>
  <c r="L36"/>
  <c r="L35"/>
  <c r="L34"/>
  <c r="L33"/>
  <c r="W20" s="1"/>
  <c r="L32"/>
  <c r="L30"/>
  <c r="W24" s="1"/>
  <c r="L29"/>
  <c r="W23" s="1"/>
  <c r="L24"/>
  <c r="H24"/>
  <c r="D24"/>
  <c r="W22"/>
  <c r="W18"/>
  <c r="W17"/>
  <c r="E17"/>
  <c r="C17"/>
  <c r="A17"/>
  <c r="M13"/>
  <c r="W28" s="1"/>
  <c r="M12"/>
  <c r="M11"/>
  <c r="M10"/>
  <c r="W25" s="1"/>
  <c r="G17" i="96" l="1"/>
  <c r="W27"/>
  <c r="W27" i="95"/>
  <c r="G17"/>
  <c r="G17" i="94"/>
  <c r="W27"/>
  <c r="L25" i="93"/>
  <c r="W26" s="1"/>
  <c r="W27"/>
  <c r="G17"/>
  <c r="G17" i="92"/>
  <c r="L25"/>
  <c r="W26" s="1"/>
  <c r="W27" s="1"/>
  <c r="L25" i="91"/>
  <c r="W26" s="1"/>
  <c r="W27" s="1"/>
  <c r="G17"/>
  <c r="L42" i="90"/>
  <c r="L41"/>
  <c r="L40"/>
  <c r="W21" s="1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L25" s="1"/>
  <c r="W26" s="1"/>
  <c r="W18"/>
  <c r="W17"/>
  <c r="E17"/>
  <c r="C17"/>
  <c r="A17"/>
  <c r="M13"/>
  <c r="W28" s="1"/>
  <c r="M12"/>
  <c r="M11"/>
  <c r="M10"/>
  <c r="W25" s="1"/>
  <c r="L42" i="89"/>
  <c r="L41"/>
  <c r="L40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L25" s="1"/>
  <c r="W26" s="1"/>
  <c r="W21"/>
  <c r="W18"/>
  <c r="W17"/>
  <c r="E17"/>
  <c r="C17"/>
  <c r="A17"/>
  <c r="M13"/>
  <c r="W28" s="1"/>
  <c r="M12"/>
  <c r="M11"/>
  <c r="M10"/>
  <c r="W25" s="1"/>
  <c r="L42" i="88"/>
  <c r="L41"/>
  <c r="L40"/>
  <c r="W21" s="1"/>
  <c r="L39"/>
  <c r="W19" s="1"/>
  <c r="L36"/>
  <c r="L35"/>
  <c r="L34"/>
  <c r="L33"/>
  <c r="W20" s="1"/>
  <c r="L32"/>
  <c r="L30"/>
  <c r="W24" s="1"/>
  <c r="L29"/>
  <c r="W23" s="1"/>
  <c r="L24"/>
  <c r="H24"/>
  <c r="D24"/>
  <c r="W22"/>
  <c r="W18"/>
  <c r="W17"/>
  <c r="E17"/>
  <c r="C17"/>
  <c r="A17"/>
  <c r="M13"/>
  <c r="W28" s="1"/>
  <c r="M12"/>
  <c r="M11"/>
  <c r="M10"/>
  <c r="W25" s="1"/>
  <c r="L42" i="87"/>
  <c r="L41"/>
  <c r="L40"/>
  <c r="W21" s="1"/>
  <c r="L39"/>
  <c r="W19" s="1"/>
  <c r="L36"/>
  <c r="L35"/>
  <c r="L34"/>
  <c r="L33"/>
  <c r="L32"/>
  <c r="L30"/>
  <c r="W24" s="1"/>
  <c r="L29"/>
  <c r="W23" s="1"/>
  <c r="L24"/>
  <c r="H24"/>
  <c r="D24"/>
  <c r="L25" s="1"/>
  <c r="W26" s="1"/>
  <c r="W22"/>
  <c r="W20"/>
  <c r="W18"/>
  <c r="W17"/>
  <c r="E17"/>
  <c r="C17"/>
  <c r="A17"/>
  <c r="M13"/>
  <c r="W28" s="1"/>
  <c r="M12"/>
  <c r="M11"/>
  <c r="M10"/>
  <c r="W25" s="1"/>
  <c r="L42" i="86"/>
  <c r="L41"/>
  <c r="L40"/>
  <c r="W21" s="1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L25" s="1"/>
  <c r="W26" s="1"/>
  <c r="W18"/>
  <c r="W17"/>
  <c r="E17"/>
  <c r="C17"/>
  <c r="A17"/>
  <c r="M13"/>
  <c r="W28" s="1"/>
  <c r="M12"/>
  <c r="M11"/>
  <c r="M10"/>
  <c r="W25" s="1"/>
  <c r="L42" i="85"/>
  <c r="L41"/>
  <c r="L40"/>
  <c r="W21" s="1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L25" s="1"/>
  <c r="W26" s="1"/>
  <c r="W18"/>
  <c r="W17"/>
  <c r="E17"/>
  <c r="C17"/>
  <c r="A17"/>
  <c r="M13"/>
  <c r="W28" s="1"/>
  <c r="M12"/>
  <c r="M11"/>
  <c r="M10"/>
  <c r="W25" s="1"/>
  <c r="L42" i="84"/>
  <c r="L41"/>
  <c r="L40"/>
  <c r="W21" s="1"/>
  <c r="L39"/>
  <c r="W19" s="1"/>
  <c r="L36"/>
  <c r="L35"/>
  <c r="L34"/>
  <c r="L33"/>
  <c r="W20" s="1"/>
  <c r="L32"/>
  <c r="L30"/>
  <c r="W24" s="1"/>
  <c r="L29"/>
  <c r="W23" s="1"/>
  <c r="L24"/>
  <c r="H24"/>
  <c r="D24"/>
  <c r="L25" s="1"/>
  <c r="W26" s="1"/>
  <c r="W22"/>
  <c r="W18"/>
  <c r="W17"/>
  <c r="E17"/>
  <c r="C17"/>
  <c r="A17"/>
  <c r="M13"/>
  <c r="W28" s="1"/>
  <c r="M12"/>
  <c r="M11"/>
  <c r="M10"/>
  <c r="W25" s="1"/>
  <c r="L42" i="83"/>
  <c r="L41"/>
  <c r="L40"/>
  <c r="W21" s="1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W18"/>
  <c r="W17"/>
  <c r="E17"/>
  <c r="C17"/>
  <c r="A17"/>
  <c r="M13"/>
  <c r="W28" s="1"/>
  <c r="M12"/>
  <c r="M11"/>
  <c r="M10"/>
  <c r="W25" s="1"/>
  <c r="L42" i="82"/>
  <c r="L40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L25" s="1"/>
  <c r="W26" s="1"/>
  <c r="W21"/>
  <c r="W18"/>
  <c r="W17"/>
  <c r="E17"/>
  <c r="C17"/>
  <c r="A17"/>
  <c r="M13"/>
  <c r="W28" s="1"/>
  <c r="M12"/>
  <c r="M11"/>
  <c r="M10"/>
  <c r="W25" s="1"/>
  <c r="L42" i="81"/>
  <c r="L41"/>
  <c r="L40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L25" s="1"/>
  <c r="W26" s="1"/>
  <c r="W21"/>
  <c r="W18"/>
  <c r="W17"/>
  <c r="E17"/>
  <c r="C17"/>
  <c r="A17"/>
  <c r="M13"/>
  <c r="W28" s="1"/>
  <c r="M12"/>
  <c r="M11"/>
  <c r="M10"/>
  <c r="W25" s="1"/>
  <c r="L29" i="79"/>
  <c r="W23" s="1"/>
  <c r="L42" i="80"/>
  <c r="L41"/>
  <c r="L40"/>
  <c r="W21" s="1"/>
  <c r="L39"/>
  <c r="W19" s="1"/>
  <c r="L36"/>
  <c r="W22" s="1"/>
  <c r="L35"/>
  <c r="L34"/>
  <c r="L33"/>
  <c r="L32"/>
  <c r="L30"/>
  <c r="W24" s="1"/>
  <c r="L29"/>
  <c r="W23" s="1"/>
  <c r="L24"/>
  <c r="H24"/>
  <c r="D24"/>
  <c r="L25" s="1"/>
  <c r="W26" s="1"/>
  <c r="W20"/>
  <c r="W18"/>
  <c r="W17"/>
  <c r="E17"/>
  <c r="C17"/>
  <c r="A17"/>
  <c r="M13"/>
  <c r="W28" s="1"/>
  <c r="M12"/>
  <c r="M11"/>
  <c r="M10"/>
  <c r="W25" s="1"/>
  <c r="L42" i="79"/>
  <c r="L41"/>
  <c r="L40"/>
  <c r="W21" s="1"/>
  <c r="L39"/>
  <c r="W19" s="1"/>
  <c r="L36"/>
  <c r="W22" s="1"/>
  <c r="L35"/>
  <c r="L34"/>
  <c r="L33"/>
  <c r="W20" s="1"/>
  <c r="L32"/>
  <c r="L30"/>
  <c r="W24" s="1"/>
  <c r="L24"/>
  <c r="H24"/>
  <c r="D24"/>
  <c r="W18"/>
  <c r="W17"/>
  <c r="E17"/>
  <c r="C17"/>
  <c r="A17"/>
  <c r="M13"/>
  <c r="W28" s="1"/>
  <c r="M12"/>
  <c r="M11"/>
  <c r="M10"/>
  <c r="W25" s="1"/>
  <c r="D24" i="78"/>
  <c r="L42"/>
  <c r="L41"/>
  <c r="L40"/>
  <c r="W21" s="1"/>
  <c r="L39"/>
  <c r="W19" s="1"/>
  <c r="L36"/>
  <c r="W22" s="1"/>
  <c r="L35"/>
  <c r="L34"/>
  <c r="L33"/>
  <c r="W20" s="1"/>
  <c r="L32"/>
  <c r="L30"/>
  <c r="W24" s="1"/>
  <c r="L29"/>
  <c r="W23" s="1"/>
  <c r="L24"/>
  <c r="H24"/>
  <c r="W18"/>
  <c r="W17"/>
  <c r="E17"/>
  <c r="C17"/>
  <c r="A17"/>
  <c r="M13"/>
  <c r="W28" s="1"/>
  <c r="M12"/>
  <c r="M11"/>
  <c r="M10"/>
  <c r="W25" s="1"/>
  <c r="L42" i="77"/>
  <c r="L41"/>
  <c r="L40"/>
  <c r="W21" s="1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W18"/>
  <c r="W17"/>
  <c r="E17"/>
  <c r="C17"/>
  <c r="A17"/>
  <c r="M13"/>
  <c r="W28" s="1"/>
  <c r="M12"/>
  <c r="M11"/>
  <c r="M10"/>
  <c r="W25" s="1"/>
  <c r="L42" i="76"/>
  <c r="L41"/>
  <c r="L40"/>
  <c r="W21" s="1"/>
  <c r="L39"/>
  <c r="W19" s="1"/>
  <c r="L36"/>
  <c r="L35"/>
  <c r="L34"/>
  <c r="L33"/>
  <c r="W20" s="1"/>
  <c r="L32"/>
  <c r="L30"/>
  <c r="W24" s="1"/>
  <c r="L29"/>
  <c r="W23" s="1"/>
  <c r="L24"/>
  <c r="H24"/>
  <c r="D24"/>
  <c r="L25" s="1"/>
  <c r="W26" s="1"/>
  <c r="W22"/>
  <c r="W18"/>
  <c r="W17"/>
  <c r="E17"/>
  <c r="C17"/>
  <c r="A17"/>
  <c r="M13"/>
  <c r="W28" s="1"/>
  <c r="M12"/>
  <c r="M11"/>
  <c r="M10"/>
  <c r="W25" s="1"/>
  <c r="L42" i="75"/>
  <c r="L41"/>
  <c r="L40"/>
  <c r="W21" s="1"/>
  <c r="L39"/>
  <c r="W19" s="1"/>
  <c r="L36"/>
  <c r="L35"/>
  <c r="L34"/>
  <c r="L33"/>
  <c r="W20" s="1"/>
  <c r="L32"/>
  <c r="L30"/>
  <c r="W24" s="1"/>
  <c r="L29"/>
  <c r="W23" s="1"/>
  <c r="L24"/>
  <c r="H24"/>
  <c r="D24"/>
  <c r="L25" s="1"/>
  <c r="W26" s="1"/>
  <c r="W22"/>
  <c r="W18"/>
  <c r="W17"/>
  <c r="E17"/>
  <c r="C17"/>
  <c r="A17"/>
  <c r="M13"/>
  <c r="W28" s="1"/>
  <c r="M12"/>
  <c r="M11"/>
  <c r="M10"/>
  <c r="W25" s="1"/>
  <c r="L42" i="74"/>
  <c r="L41"/>
  <c r="L40"/>
  <c r="W21" s="1"/>
  <c r="L39"/>
  <c r="W19" s="1"/>
  <c r="L36"/>
  <c r="W22" s="1"/>
  <c r="L35"/>
  <c r="L34"/>
  <c r="L33"/>
  <c r="L32"/>
  <c r="L30"/>
  <c r="W24" s="1"/>
  <c r="L29"/>
  <c r="W23" s="1"/>
  <c r="L24"/>
  <c r="H24"/>
  <c r="D24"/>
  <c r="L25" s="1"/>
  <c r="W26" s="1"/>
  <c r="W20"/>
  <c r="W18"/>
  <c r="W17"/>
  <c r="E17"/>
  <c r="C17"/>
  <c r="A17"/>
  <c r="M13"/>
  <c r="W28" s="1"/>
  <c r="M12"/>
  <c r="M11"/>
  <c r="M10"/>
  <c r="W25" s="1"/>
  <c r="L42" i="73"/>
  <c r="L41"/>
  <c r="L40"/>
  <c r="W21" s="1"/>
  <c r="L39"/>
  <c r="W19" s="1"/>
  <c r="L36"/>
  <c r="W22" s="1"/>
  <c r="L35"/>
  <c r="L34"/>
  <c r="L33"/>
  <c r="W20" s="1"/>
  <c r="L32"/>
  <c r="L30"/>
  <c r="L29"/>
  <c r="W23" s="1"/>
  <c r="W24"/>
  <c r="L24"/>
  <c r="H24"/>
  <c r="D24"/>
  <c r="L25" s="1"/>
  <c r="W26" s="1"/>
  <c r="W18"/>
  <c r="W17"/>
  <c r="E17"/>
  <c r="C17"/>
  <c r="A17"/>
  <c r="M13"/>
  <c r="W28" s="1"/>
  <c r="M12"/>
  <c r="M11"/>
  <c r="M10"/>
  <c r="W25" s="1"/>
  <c r="L42" i="72"/>
  <c r="L41"/>
  <c r="L40"/>
  <c r="W21" s="1"/>
  <c r="L39"/>
  <c r="W19" s="1"/>
  <c r="L36"/>
  <c r="W22" s="1"/>
  <c r="L35"/>
  <c r="L34"/>
  <c r="L33"/>
  <c r="L32"/>
  <c r="L30"/>
  <c r="W24" s="1"/>
  <c r="L29"/>
  <c r="W23" s="1"/>
  <c r="L24"/>
  <c r="H24"/>
  <c r="D24"/>
  <c r="L25" s="1"/>
  <c r="W26" s="1"/>
  <c r="W20"/>
  <c r="W18"/>
  <c r="W17"/>
  <c r="E17"/>
  <c r="C17"/>
  <c r="A17"/>
  <c r="M13"/>
  <c r="W28" s="1"/>
  <c r="M12"/>
  <c r="M11"/>
  <c r="M10"/>
  <c r="W25" s="1"/>
  <c r="L42" i="71"/>
  <c r="L41"/>
  <c r="L40"/>
  <c r="W21" s="1"/>
  <c r="L39"/>
  <c r="W19" s="1"/>
  <c r="L36"/>
  <c r="W22" s="1"/>
  <c r="L35"/>
  <c r="L34"/>
  <c r="L33"/>
  <c r="L32"/>
  <c r="L30"/>
  <c r="W24" s="1"/>
  <c r="L29"/>
  <c r="W23" s="1"/>
  <c r="L24"/>
  <c r="H24"/>
  <c r="D24"/>
  <c r="L25" s="1"/>
  <c r="W26" s="1"/>
  <c r="W20"/>
  <c r="W18"/>
  <c r="W17"/>
  <c r="E17"/>
  <c r="C17"/>
  <c r="A17"/>
  <c r="M13"/>
  <c r="W28" s="1"/>
  <c r="M12"/>
  <c r="M11"/>
  <c r="M10"/>
  <c r="W25" s="1"/>
  <c r="L42" i="70"/>
  <c r="L41"/>
  <c r="L40"/>
  <c r="L39"/>
  <c r="W19" s="1"/>
  <c r="L36"/>
  <c r="W22" s="1"/>
  <c r="L35"/>
  <c r="L34"/>
  <c r="L33"/>
  <c r="L32"/>
  <c r="L30"/>
  <c r="L29"/>
  <c r="W23" s="1"/>
  <c r="W24"/>
  <c r="L24"/>
  <c r="H24"/>
  <c r="D24"/>
  <c r="L25" s="1"/>
  <c r="W26" s="1"/>
  <c r="W21"/>
  <c r="W20"/>
  <c r="W18"/>
  <c r="W17"/>
  <c r="E17"/>
  <c r="C17"/>
  <c r="A17"/>
  <c r="M13"/>
  <c r="W28" s="1"/>
  <c r="M12"/>
  <c r="M11"/>
  <c r="M10"/>
  <c r="W25" s="1"/>
  <c r="L42" i="69"/>
  <c r="L41"/>
  <c r="L40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L25" s="1"/>
  <c r="W26" s="1"/>
  <c r="W21"/>
  <c r="W18"/>
  <c r="W17"/>
  <c r="E17"/>
  <c r="C17"/>
  <c r="A17"/>
  <c r="M13"/>
  <c r="W28" s="1"/>
  <c r="M12"/>
  <c r="M11"/>
  <c r="M10"/>
  <c r="W25" s="1"/>
  <c r="L42" i="68"/>
  <c r="L41"/>
  <c r="L40"/>
  <c r="L39"/>
  <c r="W19" s="1"/>
  <c r="L36"/>
  <c r="W22" s="1"/>
  <c r="L35"/>
  <c r="L34"/>
  <c r="L33"/>
  <c r="W20" s="1"/>
  <c r="L32"/>
  <c r="L30"/>
  <c r="W24" s="1"/>
  <c r="L29"/>
  <c r="W23" s="1"/>
  <c r="L24"/>
  <c r="H24"/>
  <c r="D24"/>
  <c r="L25" s="1"/>
  <c r="W26" s="1"/>
  <c r="W21"/>
  <c r="W18"/>
  <c r="W17"/>
  <c r="E17"/>
  <c r="C17"/>
  <c r="A17"/>
  <c r="M13"/>
  <c r="W28" s="1"/>
  <c r="M12"/>
  <c r="M11"/>
  <c r="M10"/>
  <c r="W25" s="1"/>
  <c r="W27" i="90" l="1"/>
  <c r="G17"/>
  <c r="L25" i="88"/>
  <c r="W26" s="1"/>
  <c r="W27" s="1"/>
  <c r="W27" i="89"/>
  <c r="G17"/>
  <c r="G17" i="87"/>
  <c r="G17" i="88"/>
  <c r="W27" i="87"/>
  <c r="G17" i="86"/>
  <c r="W27"/>
  <c r="W27" i="85"/>
  <c r="G17"/>
  <c r="W27" i="84"/>
  <c r="G17"/>
  <c r="L25" i="83"/>
  <c r="W26" s="1"/>
  <c r="W27" s="1"/>
  <c r="G17"/>
  <c r="G17" i="82"/>
  <c r="W27"/>
  <c r="G17" i="81"/>
  <c r="W27"/>
  <c r="W27" i="80"/>
  <c r="G17"/>
  <c r="L25" i="79"/>
  <c r="W26" s="1"/>
  <c r="W27" s="1"/>
  <c r="G17"/>
  <c r="L25" i="78"/>
  <c r="W26" s="1"/>
  <c r="W27" s="1"/>
  <c r="G17"/>
  <c r="L25" i="77"/>
  <c r="W26" s="1"/>
  <c r="W27" s="1"/>
  <c r="G17"/>
  <c r="W27" i="76"/>
  <c r="G17"/>
  <c r="W27" i="75"/>
  <c r="G17"/>
  <c r="G17" i="74"/>
  <c r="W27"/>
  <c r="G17" i="73"/>
  <c r="W27"/>
  <c r="W27" i="72"/>
  <c r="G17"/>
  <c r="W27" i="71"/>
  <c r="G17"/>
  <c r="W27" i="70"/>
  <c r="G17"/>
  <c r="G17" i="69"/>
  <c r="W27"/>
  <c r="G17" i="68"/>
  <c r="W27"/>
</calcChain>
</file>

<file path=xl/sharedStrings.xml><?xml version="1.0" encoding="utf-8"?>
<sst xmlns="http://schemas.openxmlformats.org/spreadsheetml/2006/main" count="4190" uniqueCount="481">
  <si>
    <t>de 00h00 à 07h00</t>
  </si>
  <si>
    <t>de 07h00 à 14h00</t>
  </si>
  <si>
    <t>de14h00 à 20h00</t>
  </si>
  <si>
    <t>de 20h00 à 00h00</t>
  </si>
  <si>
    <t>Chef de quart</t>
  </si>
  <si>
    <t>Mourad Madder</t>
  </si>
  <si>
    <t>Karam BenKraiem</t>
  </si>
  <si>
    <t>Chef de bloc</t>
  </si>
  <si>
    <t>Maher Cherni</t>
  </si>
  <si>
    <t>Nejmeddine Attia</t>
  </si>
  <si>
    <t>Med Bayrem Karoui</t>
  </si>
  <si>
    <t xml:space="preserve"> </t>
  </si>
  <si>
    <t>Opérateur 1</t>
  </si>
  <si>
    <t xml:space="preserve">Walid Ouertateni </t>
  </si>
  <si>
    <t>Hassen Ayari</t>
  </si>
  <si>
    <t>Opérateur 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</si>
  <si>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</si>
  <si>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Compteur d'énergie</t>
  </si>
  <si>
    <t>Ismail Ounis</t>
  </si>
  <si>
    <t>slim bouras</t>
  </si>
  <si>
    <t>DESIGNATION</t>
  </si>
  <si>
    <t>00h00</t>
  </si>
  <si>
    <t>07h00</t>
  </si>
  <si>
    <t>18h00</t>
  </si>
  <si>
    <t>22h00</t>
  </si>
  <si>
    <t>24h00</t>
  </si>
  <si>
    <t>Réalisation</t>
  </si>
  <si>
    <t>Oussama Nefzi</t>
  </si>
  <si>
    <t>Moez Jerbi</t>
  </si>
  <si>
    <t>Active</t>
  </si>
  <si>
    <t>PRESELECT</t>
  </si>
  <si>
    <t>Réactive fournie</t>
  </si>
  <si>
    <t>AGC</t>
  </si>
  <si>
    <t>Réactive absorbée</t>
  </si>
  <si>
    <t>PMC</t>
  </si>
  <si>
    <t>Auxiliaires</t>
  </si>
  <si>
    <t>PMS</t>
  </si>
  <si>
    <t xml:space="preserve">Répartition Horaire Energie Brute </t>
  </si>
  <si>
    <t>Puissance max</t>
  </si>
  <si>
    <t>Jour</t>
  </si>
  <si>
    <t>Pointe</t>
  </si>
  <si>
    <t>Nuit</t>
  </si>
  <si>
    <t>Total</t>
  </si>
  <si>
    <t>T° amb</t>
  </si>
  <si>
    <t>Heure</t>
  </si>
  <si>
    <t>POINTE DU JOUR , PUISSANCE (MW)</t>
  </si>
  <si>
    <t>Nature</t>
  </si>
  <si>
    <t>POINTE DU JOUR , HEURE</t>
  </si>
  <si>
    <t>TOTAL HEURES DE FLAMME DU JOUR</t>
  </si>
  <si>
    <t>Consommation auxiliaire en charge</t>
  </si>
  <si>
    <t>TOTAL DEMARRAGE PAR 24H</t>
  </si>
  <si>
    <t>TOTAL HEURES DE MARCHE EN PMS DU JOUR</t>
  </si>
  <si>
    <t>TOTAL DECLENCHEMENT TG PAR 24H</t>
  </si>
  <si>
    <t xml:space="preserve">Compteur découplage </t>
  </si>
  <si>
    <t>CONSOMMATION GAZ TG (Nm3)</t>
  </si>
  <si>
    <t xml:space="preserve">Consommation </t>
  </si>
  <si>
    <t>CONSOMMATION GASOIL TG (Litre)</t>
  </si>
  <si>
    <t>PRODUCTION BRUTE (MWh) PENDANT 24 H</t>
  </si>
  <si>
    <t>CONSOMMATION AUXILIAIRES (MWh)   EN CHARGE 24 H</t>
  </si>
  <si>
    <t>Diff</t>
  </si>
  <si>
    <t>PRODUCTION NETTE  (MWh)  PENDANT 24 H</t>
  </si>
  <si>
    <t>Compteurs Combustibles</t>
  </si>
  <si>
    <t>CONSOMMATION AUXILIAIRES (MWh)   PENDANT 24 H</t>
  </si>
  <si>
    <t>Comp. Gaz</t>
  </si>
  <si>
    <t>Comp. Gasoil</t>
  </si>
  <si>
    <t>Compteurs évènements</t>
  </si>
  <si>
    <t>Dém. Manuel</t>
  </si>
  <si>
    <t>Dém. Total</t>
  </si>
  <si>
    <t>Dém. Rapide</t>
  </si>
  <si>
    <t>Allumage</t>
  </si>
  <si>
    <t>Déclenchement</t>
  </si>
  <si>
    <t>Nb de couplage/j</t>
  </si>
  <si>
    <t>Compteurs Heures de fonctionnement</t>
  </si>
  <si>
    <t>H. de flamme</t>
  </si>
  <si>
    <t>H. PMS</t>
  </si>
  <si>
    <t>H. fct en Gaz</t>
  </si>
  <si>
    <t>H. fct en Gasoil</t>
  </si>
  <si>
    <t>MANŒUVRES D'EXPLOITATION (feuille 1)</t>
  </si>
  <si>
    <t>MANŒUVRES D'EXPLOITATION (Feuille2)</t>
  </si>
  <si>
    <t>DEMANDE DE TRAVAUX</t>
  </si>
  <si>
    <t>N° Bon</t>
  </si>
  <si>
    <t>Détails (feuille2)</t>
  </si>
  <si>
    <t>Détails (feuille1)</t>
  </si>
  <si>
    <t>Alarmes apparues (HMI &amp; DCS)</t>
  </si>
  <si>
    <t xml:space="preserve">Heure </t>
  </si>
  <si>
    <t>Détails</t>
  </si>
  <si>
    <t>Origine</t>
  </si>
  <si>
    <t>Consignes Particuliers</t>
  </si>
  <si>
    <t>Pompe incendie N°2 indisponible</t>
  </si>
  <si>
    <t>Détecteurs gaz  45ha1,45ha 1 ; 3 ; 5 et 45ht3 ; 4; 5 en défaut</t>
  </si>
  <si>
    <t>Alarme DCS tension phase 1; 2  ;  3+courant phase 1;2 ALT</t>
  </si>
  <si>
    <t>thermocouple inter-roue TTWS3F0-2 / TTWS2A0-1  en défauts</t>
  </si>
  <si>
    <t>DEF onduleur   LCA002AR</t>
  </si>
  <si>
    <t>LAMJED RAJHI</t>
  </si>
  <si>
    <t>couplage</t>
  </si>
  <si>
    <t>Groupe en production 61 MW / -36 MVAR à 11°C</t>
  </si>
  <si>
    <t xml:space="preserve">Rapport journalier chef de bloc 
01/04/2026  </t>
  </si>
  <si>
    <t>14h23</t>
  </si>
  <si>
    <t>AGC en service119MW    18MVAR 11°C</t>
  </si>
  <si>
    <t>16h16</t>
  </si>
  <si>
    <t>Permutation : 88VG1 vers 88VG2 , 88BT2 vers 88BT1 ,8VL1 vers 88VL2 ,88EF1 vers 88EF2</t>
  </si>
  <si>
    <t>18h04</t>
  </si>
  <si>
    <t>"P452" ALM def aero bloc permanent</t>
  </si>
  <si>
    <t>23h42</t>
  </si>
  <si>
    <t>Montée en charge de base</t>
  </si>
  <si>
    <t xml:space="preserve">AGC hors service </t>
  </si>
  <si>
    <t>AGC en service</t>
  </si>
  <si>
    <t xml:space="preserve">TG en service 110 MW à 11 °C  / -31 MVAR </t>
  </si>
  <si>
    <t>19h09</t>
  </si>
  <si>
    <t xml:space="preserve">Rapport journalier chef de bloc 
02/04/2026  </t>
  </si>
  <si>
    <r>
      <t xml:space="preserve">AGC hors srevice et montée en charge de base </t>
    </r>
    <r>
      <rPr>
        <sz val="11"/>
        <color rgb="FFFF0000"/>
        <rFont val="Calibri"/>
        <family val="2"/>
        <scheme val="minor"/>
      </rPr>
      <t>117MW   ; -43MVAR   ; 12°c</t>
    </r>
  </si>
  <si>
    <t>18h38</t>
  </si>
  <si>
    <t>AGC  en service</t>
  </si>
  <si>
    <t>22h22</t>
  </si>
  <si>
    <t>Groupe en production sur AGC 92MW  ;  -43MVAR  12°c</t>
  </si>
  <si>
    <t>119MW</t>
  </si>
  <si>
    <t>20h58</t>
  </si>
  <si>
    <t xml:space="preserve">Rapport journalier chef de bloc 
03/04/2026  </t>
  </si>
  <si>
    <t>12°C</t>
  </si>
  <si>
    <t>10H26</t>
  </si>
  <si>
    <t xml:space="preserve">Téléreglage hors service </t>
  </si>
  <si>
    <t>10h26</t>
  </si>
  <si>
    <r>
      <t>Monté de charge en mode "Base"</t>
    </r>
    <r>
      <rPr>
        <sz val="11"/>
        <color rgb="FFFF0000"/>
        <rFont val="Calibri"/>
        <family val="2"/>
        <scheme val="minor"/>
      </rPr>
      <t xml:space="preserve"> 116 MW ; -23,5 MVAR à 17°C</t>
    </r>
  </si>
  <si>
    <t>12h36</t>
  </si>
  <si>
    <t>Retour de charge en mode "préselect"</t>
  </si>
  <si>
    <t xml:space="preserve">Téléreglage en service </t>
  </si>
  <si>
    <t>22h35</t>
  </si>
  <si>
    <t>Groupe en production sur AGC 117MW  ;  -33MVAR  14°c</t>
  </si>
  <si>
    <t xml:space="preserve">Rapport journalier chef de bloc 
04/04/2026  </t>
  </si>
  <si>
    <t>120MW</t>
  </si>
  <si>
    <t>22h34</t>
  </si>
  <si>
    <t>14°C</t>
  </si>
  <si>
    <t>Groupe en production 104MW ; -31MVAR à 14°c</t>
  </si>
  <si>
    <t>Groupe en production 104MW ;-31MVAR à 14°c</t>
  </si>
  <si>
    <t>03h32</t>
  </si>
  <si>
    <t>(P245) Alarme mauvaise mesure air d'atomisation</t>
  </si>
  <si>
    <t xml:space="preserve">Rapport journalier chef de bloc 
05/04/2026  </t>
  </si>
  <si>
    <t>10h28</t>
  </si>
  <si>
    <t>P "519"  ALM défaut extracteur n2 filtre air TG</t>
  </si>
  <si>
    <t xml:space="preserve">Rapport journalier chef de bloc 
06/04/2026  </t>
  </si>
  <si>
    <t>121MW</t>
  </si>
  <si>
    <t>4H46</t>
  </si>
  <si>
    <t>24H00</t>
  </si>
  <si>
    <t>Groupe en production 70MW ; -21MVAR à 15°c</t>
  </si>
  <si>
    <t>11h35</t>
  </si>
  <si>
    <t xml:space="preserve">Niveau bas drainage gasoil /eau </t>
  </si>
  <si>
    <t>DCS</t>
  </si>
  <si>
    <t>12h00</t>
  </si>
  <si>
    <t>SOE  pression differentiel  filtre a huile  63QQ1H</t>
  </si>
  <si>
    <t>Prélèvement d'huile de lubrification et de réfrigération TG</t>
  </si>
  <si>
    <t>Echauffement de garniture pompe incendie "diesel"</t>
  </si>
  <si>
    <t>13°C</t>
  </si>
  <si>
    <t>07H05</t>
  </si>
  <si>
    <t>Groupe en production 61 MW ; -38,8 MVAR à 15°c</t>
  </si>
  <si>
    <t>Charge PMC à 25°c  108MW</t>
  </si>
  <si>
    <t>03H33</t>
  </si>
  <si>
    <t xml:space="preserve">Rapport journalier chef de bloc 
07/04/2026  </t>
  </si>
  <si>
    <t xml:space="preserve">Rapport journalier chef de bloc 
08/04/2026  </t>
  </si>
  <si>
    <t>Groupe en production 92 MW ; -27,9 MVAR à 17°c</t>
  </si>
  <si>
    <t>14h07</t>
  </si>
  <si>
    <t>Def climatisation electrique groupe 1</t>
  </si>
  <si>
    <t>Def climatisation electrique groupe 2</t>
  </si>
  <si>
    <t>14h18</t>
  </si>
  <si>
    <t>17h24</t>
  </si>
  <si>
    <t xml:space="preserve">AGC hors service
</t>
  </si>
  <si>
    <t xml:space="preserve"> Montée en charge PMC  à la demande de l'équipe d'essais pour le test du parafoudre sur site  ( appareil infrarouge )</t>
  </si>
  <si>
    <t>18h33</t>
  </si>
  <si>
    <t>05h59</t>
  </si>
  <si>
    <t>Groupe en production 62 MW à 19°C /     -16,9 MVAR</t>
  </si>
  <si>
    <t xml:space="preserve">Rapport journalier chef de bloc 
09/04/2026  </t>
  </si>
  <si>
    <t>11h13</t>
  </si>
  <si>
    <t xml:space="preserve"> AGC hors service et PMC 109MW 23°c</t>
  </si>
  <si>
    <t>12h09</t>
  </si>
  <si>
    <t>Apparition d'alarme incendie "alarme fugé" ( Flux BAT technique magasin legeres)</t>
  </si>
  <si>
    <t>15h44</t>
  </si>
  <si>
    <t>Retour de charge en mode "Préselect" et Téléreglage en service</t>
  </si>
  <si>
    <t>06h09</t>
  </si>
  <si>
    <t>Groupe en production 80 MW à 17°C /     -35 MVAR</t>
  </si>
  <si>
    <t xml:space="preserve">Rapport journalier chef de bloc 
10/04/2026  </t>
  </si>
  <si>
    <t>08H04</t>
  </si>
  <si>
    <t xml:space="preserve">Téléreglage hors service suivant perte de communication </t>
  </si>
  <si>
    <t>Ouverture Disjoncteur "52G" suite def armoire GCP (52GT)</t>
  </si>
  <si>
    <t>09h33</t>
  </si>
  <si>
    <t>09h54</t>
  </si>
  <si>
    <t>Recouplage de groupe et retablissement de situation</t>
  </si>
  <si>
    <t>10h18</t>
  </si>
  <si>
    <r>
      <rPr>
        <sz val="11"/>
        <color rgb="FFFF0000"/>
        <rFont val="Calibri"/>
        <family val="2"/>
        <scheme val="minor"/>
      </rPr>
      <t xml:space="preserve">90 MW </t>
    </r>
    <r>
      <rPr>
        <sz val="11"/>
        <rFont val="Calibri"/>
        <family val="2"/>
        <scheme val="minor"/>
      </rPr>
      <t>à la demande dispatching</t>
    </r>
  </si>
  <si>
    <t>12h55</t>
  </si>
  <si>
    <r>
      <rPr>
        <sz val="11"/>
        <color rgb="FFFF0000"/>
        <rFont val="Calibri"/>
        <family val="2"/>
        <scheme val="minor"/>
      </rPr>
      <t>80 MW</t>
    </r>
    <r>
      <rPr>
        <sz val="11"/>
        <color theme="1"/>
        <rFont val="Calibri"/>
        <family val="2"/>
        <scheme val="minor"/>
      </rPr>
      <t xml:space="preserve"> à la demande dispatching</t>
    </r>
  </si>
  <si>
    <t>14h34</t>
  </si>
  <si>
    <t>60MW</t>
  </si>
  <si>
    <t>15h05</t>
  </si>
  <si>
    <t>15h09</t>
  </si>
  <si>
    <t>100MW</t>
  </si>
  <si>
    <t>16h12</t>
  </si>
  <si>
    <t>17H25</t>
  </si>
  <si>
    <t>PMC 110MW     -41MVAR     22 °c</t>
  </si>
  <si>
    <t>21h18</t>
  </si>
  <si>
    <t>Groupe en production 80 MW à 19°C /     -22 MVAR</t>
  </si>
  <si>
    <t>112mw</t>
  </si>
  <si>
    <t xml:space="preserve">Rapport journalier chef de bloc 
11/04/2026  </t>
  </si>
  <si>
    <t>Alarme DCS tension phase  3 ALT</t>
  </si>
  <si>
    <t xml:space="preserve">Core "C" en défaut </t>
  </si>
  <si>
    <t>17h22</t>
  </si>
  <si>
    <t>AGC hors service</t>
  </si>
  <si>
    <t>20h32</t>
  </si>
  <si>
    <t xml:space="preserve"> Ordre d'arrêt TG pour faire intervention, suite demande du service électrique sur core "C"</t>
  </si>
  <si>
    <t>20h36</t>
  </si>
  <si>
    <t>Decouplage de groupe</t>
  </si>
  <si>
    <t>20h38</t>
  </si>
  <si>
    <t>20h45</t>
  </si>
  <si>
    <t>Extinction du  25,3% TNH</t>
  </si>
  <si>
    <t>20h57</t>
  </si>
  <si>
    <t>Groupe sur virage</t>
  </si>
  <si>
    <t>Rebot core "C"</t>
  </si>
  <si>
    <t>20h59</t>
  </si>
  <si>
    <t>Démarrage TG</t>
  </si>
  <si>
    <t>21h16</t>
  </si>
  <si>
    <t>21h20</t>
  </si>
  <si>
    <t>Couplage de groupe</t>
  </si>
  <si>
    <t>21h29</t>
  </si>
  <si>
    <t>AGC en cervice</t>
  </si>
  <si>
    <t>21h30</t>
  </si>
  <si>
    <t>allumage du flamme 15,9% TNH              TTxm476°c         Bbmax 6,98mm/s</t>
  </si>
  <si>
    <t>Groupe en production sur AGC 79 MW à 22°C /     -47 MVAR</t>
  </si>
  <si>
    <t>04h12</t>
  </si>
  <si>
    <t xml:space="preserve">Rapport journalier chef de bloc 
12/04/2026  </t>
  </si>
  <si>
    <t>07h21</t>
  </si>
  <si>
    <t xml:space="preserve"> "P245" Alm mauvaise mesure air d'atomisation</t>
  </si>
  <si>
    <t xml:space="preserve">Rapport journalier chef de bloc 
13/04/2026  </t>
  </si>
  <si>
    <t>113 MW</t>
  </si>
  <si>
    <t>19°C</t>
  </si>
  <si>
    <t xml:space="preserve">Groupe en production 91 MW ; - 23 MVAR à 19°C </t>
  </si>
  <si>
    <t>Groupe en production 91 MW ; -23 MVAR à 19°C</t>
  </si>
  <si>
    <t xml:space="preserve">Rapport journalier chef de bloc 
14/04/2026  </t>
  </si>
  <si>
    <t>115MW</t>
  </si>
  <si>
    <t>17°C</t>
  </si>
  <si>
    <t>Groupe en production 61 MW ; -37 MVAR à 17°C</t>
  </si>
  <si>
    <t>09h06</t>
  </si>
  <si>
    <t xml:space="preserve">Def  pompe chaleur 1 bâtiment administratif </t>
  </si>
  <si>
    <t>09h08</t>
  </si>
  <si>
    <t xml:space="preserve">Def  pompe chaleur 3 bâtiment administratif </t>
  </si>
  <si>
    <t>10h19</t>
  </si>
  <si>
    <t xml:space="preserve">Def onduleur 001 </t>
  </si>
  <si>
    <t xml:space="preserve">Rapport journalier chef de bloc 
15/04/2026  </t>
  </si>
  <si>
    <t>117MW</t>
  </si>
  <si>
    <t>15°C</t>
  </si>
  <si>
    <t>10H19</t>
  </si>
  <si>
    <t>Groupe en production 63 MW ; -36,5 MVAR à 17°C</t>
  </si>
  <si>
    <t>08h58</t>
  </si>
  <si>
    <t>08h559</t>
  </si>
  <si>
    <t xml:space="preserve">Rapport journalier chef de bloc 
16/04/2026  </t>
  </si>
  <si>
    <t>Groupe en production 63 MW ; -32,5 MVAR à 17°C</t>
  </si>
  <si>
    <t>113MW</t>
  </si>
  <si>
    <t>16°C</t>
  </si>
  <si>
    <t>19H32</t>
  </si>
  <si>
    <t>3h31</t>
  </si>
  <si>
    <t>3h44</t>
  </si>
  <si>
    <t>ordre d'arret tg</t>
  </si>
  <si>
    <t>3h51</t>
  </si>
  <si>
    <t xml:space="preserve">4h00 </t>
  </si>
  <si>
    <t>4h09</t>
  </si>
  <si>
    <t>4h10</t>
  </si>
  <si>
    <t>AGC EN SERVICE</t>
  </si>
  <si>
    <t xml:space="preserve">3h55 </t>
  </si>
  <si>
    <t>01h52</t>
  </si>
  <si>
    <t>ordre de démarrage  TG</t>
  </si>
  <si>
    <t xml:space="preserve">allummage de flamme 15,9% TNH                   </t>
  </si>
  <si>
    <t>FSNLet   couplage de groupe     TTXM:478°c  Bbmax:5,77mm/s</t>
  </si>
  <si>
    <t xml:space="preserve">extinction de flamme 25,3% TNH </t>
  </si>
  <si>
    <t>01h51</t>
  </si>
  <si>
    <t xml:space="preserve">AGC hors service suite Défaut communication HMI -- DCS </t>
  </si>
  <si>
    <t>19h36</t>
  </si>
  <si>
    <t xml:space="preserve">Groupe en production 69 MW  à 16°C  /  -24,5 MVAR </t>
  </si>
  <si>
    <t xml:space="preserve">Rapport journalier chef de bloc 
17/04/2026  </t>
  </si>
  <si>
    <t>10h06</t>
  </si>
  <si>
    <t>PMC 115 MW  18°c</t>
  </si>
  <si>
    <t>10h16</t>
  </si>
  <si>
    <t>06h59</t>
  </si>
  <si>
    <t>ALM  "P357" sousexcitation current</t>
  </si>
  <si>
    <t>ALM "P245" mauvaise mesure air d'atomisaton</t>
  </si>
  <si>
    <t>11h24</t>
  </si>
  <si>
    <t>13h57</t>
  </si>
  <si>
    <t xml:space="preserve">13h57 </t>
  </si>
  <si>
    <t>Monté de charge en mode de "Base" à 111 MW , -37 MAVR , 21°C</t>
  </si>
  <si>
    <t>21h45</t>
  </si>
  <si>
    <t>21h06</t>
  </si>
  <si>
    <t xml:space="preserve">Groupe en production 107 MW  à 16°C  /  -34 MVAR </t>
  </si>
  <si>
    <t xml:space="preserve">Rapport journalier chef de bloc 
18/04/2026  </t>
  </si>
  <si>
    <t>14h30</t>
  </si>
  <si>
    <t>agc hors  service</t>
  </si>
  <si>
    <t xml:space="preserve">14h36 </t>
  </si>
  <si>
    <t xml:space="preserve">ordre d'arret tg </t>
  </si>
  <si>
    <t>14h38</t>
  </si>
  <si>
    <t>decouplage de groupe</t>
  </si>
  <si>
    <t>extinction de flamme</t>
  </si>
  <si>
    <t>groupe sur virage</t>
  </si>
  <si>
    <t>14h45</t>
  </si>
  <si>
    <t>14h56</t>
  </si>
  <si>
    <t>00h45</t>
  </si>
  <si>
    <t>Groupe sur virage disponible</t>
  </si>
  <si>
    <t xml:space="preserve">Rapport journalier chef de bloc 
19/04/2026  </t>
  </si>
  <si>
    <t xml:space="preserve">Rapport journalier chef de bloc 
20/04/2026  </t>
  </si>
  <si>
    <t>17h28</t>
  </si>
  <si>
    <t>17h25</t>
  </si>
  <si>
    <t xml:space="preserve"> " P519" Def extracteur de sable N 2   filtre air TG </t>
  </si>
  <si>
    <t>Visite mensuel du  système incendie site</t>
  </si>
  <si>
    <t>17h37</t>
  </si>
  <si>
    <t>FSNL</t>
  </si>
  <si>
    <t xml:space="preserve">Couple du groupe </t>
  </si>
  <si>
    <t>17h39</t>
  </si>
  <si>
    <t>17h52</t>
  </si>
  <si>
    <t xml:space="preserve"> "P399" Rack extérieur générale en défaut  </t>
  </si>
  <si>
    <t>Ordre de démarrage TG en auto</t>
  </si>
  <si>
    <t>Maintenance trimestrielle système d'air de refroidissement 88 tk1 et tk2</t>
  </si>
  <si>
    <t>Allumage de flamme à 15,9     TTXM :  446 °C   / BBMAX : 4,74 mm/s</t>
  </si>
  <si>
    <t xml:space="preserve">Rapport journalier chef de bloc 
21/04/2026  </t>
  </si>
  <si>
    <t>112MW</t>
  </si>
  <si>
    <t>20h50</t>
  </si>
  <si>
    <t>20°C</t>
  </si>
  <si>
    <r>
      <t xml:space="preserve">Groupe en prodution à </t>
    </r>
    <r>
      <rPr>
        <sz val="11"/>
        <color rgb="FFFF0000"/>
        <rFont val="Calibri"/>
        <family val="2"/>
        <scheme val="minor"/>
      </rPr>
      <t>66 MW ; -25 MVAR ; 18°C</t>
    </r>
  </si>
  <si>
    <t>00h19</t>
  </si>
  <si>
    <t xml:space="preserve">Téléreglage hors service et baisse de charge </t>
  </si>
  <si>
    <t>Ordre d'arret de TG</t>
  </si>
  <si>
    <t>00h23</t>
  </si>
  <si>
    <t>Découplage de groupe</t>
  </si>
  <si>
    <t>00h25</t>
  </si>
  <si>
    <t>00h33</t>
  </si>
  <si>
    <t>Extinction de flamme à 25,4% TNH</t>
  </si>
  <si>
    <t>00h44</t>
  </si>
  <si>
    <t>00h42</t>
  </si>
  <si>
    <t>(P173) Alarme écart temperature inter_roues excessif</t>
  </si>
  <si>
    <t>Control  trimesrielle skid gaz</t>
  </si>
  <si>
    <t>bruit  anormal au niveau  de la 88 TA 2</t>
  </si>
  <si>
    <t>17h19</t>
  </si>
  <si>
    <t>17h20</t>
  </si>
  <si>
    <t>17h23</t>
  </si>
  <si>
    <t>17j32</t>
  </si>
  <si>
    <t>17h32</t>
  </si>
  <si>
    <t xml:space="preserve">Couplage du groupe </t>
  </si>
  <si>
    <t>17h33</t>
  </si>
  <si>
    <t xml:space="preserve">Montée en charge de base PMC  à la demande de sipatvching </t>
  </si>
  <si>
    <t xml:space="preserve">Montée en charge de base PMC  à la demande de dispatching </t>
  </si>
  <si>
    <t>Allumage de flamme à 15,9     TTXM :  442 °C   / BBMAX : 5,29 mm/s</t>
  </si>
  <si>
    <t>17h51</t>
  </si>
  <si>
    <t xml:space="preserve">Passage du mode de charge de base au mode AGC en service </t>
  </si>
  <si>
    <t>22h58</t>
  </si>
  <si>
    <t>23h04</t>
  </si>
  <si>
    <t>23h06</t>
  </si>
  <si>
    <t>23h14</t>
  </si>
  <si>
    <t>23h22</t>
  </si>
  <si>
    <t>23h25</t>
  </si>
  <si>
    <t>Extinction de flamme à 25,2% TNH</t>
  </si>
  <si>
    <t>114MW</t>
  </si>
  <si>
    <t>17h44</t>
  </si>
  <si>
    <t>21°C</t>
  </si>
  <si>
    <t>23h51</t>
  </si>
  <si>
    <t>(P262) Alarme defaut système protection incendie</t>
  </si>
  <si>
    <t>16h00</t>
  </si>
  <si>
    <t>16h04</t>
  </si>
  <si>
    <t>16h09</t>
  </si>
  <si>
    <t>16h13</t>
  </si>
  <si>
    <t>16h22</t>
  </si>
  <si>
    <t>Allumage de flamme à 15,9     TTXM :  433 °C   / BBMAX : 5,68 mm/s</t>
  </si>
  <si>
    <t xml:space="preserve">Rapport journalier chef de bloc 
22/04/2026  </t>
  </si>
  <si>
    <t xml:space="preserve">Rapport journalier chef de bloc 
23/04/2026  </t>
  </si>
  <si>
    <t>21h12</t>
  </si>
  <si>
    <t>21h26</t>
  </si>
  <si>
    <t>21h37</t>
  </si>
  <si>
    <t>21h55</t>
  </si>
  <si>
    <t>HMI/DCS</t>
  </si>
  <si>
    <t xml:space="preserve">  ALM(p262) defaut système protection incendie</t>
  </si>
  <si>
    <t xml:space="preserve">ALM(p262) défaut systéme protection incendie </t>
  </si>
  <si>
    <t>17H51</t>
  </si>
  <si>
    <t>groupe sur virage disponible</t>
  </si>
  <si>
    <t>07h25</t>
  </si>
  <si>
    <t>Défaut TG ouvert 52G  déclenche</t>
  </si>
  <si>
    <t>16h14</t>
  </si>
  <si>
    <t>16h18</t>
  </si>
  <si>
    <t>16h26</t>
  </si>
  <si>
    <t>16h27</t>
  </si>
  <si>
    <t xml:space="preserve">AGC en service </t>
  </si>
  <si>
    <t>Allumage de flamme à 15,9     TTXM :  432 °C   / BBMAX : 5,42 mm/s</t>
  </si>
  <si>
    <t xml:space="preserve">Rapport journalier chef de bloc 
24/04/2026  </t>
  </si>
  <si>
    <t>22H37</t>
  </si>
  <si>
    <t>00H00</t>
  </si>
  <si>
    <r>
      <t xml:space="preserve">Groupe en prodution à </t>
    </r>
    <r>
      <rPr>
        <sz val="11"/>
        <color rgb="FFFF0000"/>
        <rFont val="Calibri"/>
        <family val="2"/>
        <scheme val="minor"/>
      </rPr>
      <t>60 MW ; -10 MVAR ; 17°C</t>
    </r>
  </si>
  <si>
    <t>00h28</t>
  </si>
  <si>
    <t>00h35</t>
  </si>
  <si>
    <t>00h53</t>
  </si>
  <si>
    <t>Défaut armoir GCP (52GT)</t>
  </si>
  <si>
    <t>Serrage et nettoyage de l'armoir MINIMAX</t>
  </si>
  <si>
    <t>Ordre démarrage de TG en auto</t>
  </si>
  <si>
    <t>16h03</t>
  </si>
  <si>
    <t>16h05</t>
  </si>
  <si>
    <t>(P519) Alarme defaut extracteur N°2 filtre air TG</t>
  </si>
  <si>
    <t>16h08</t>
  </si>
  <si>
    <t>(P173) Alarme ecart temperature inter-roue excessif</t>
  </si>
  <si>
    <t>16h17</t>
  </si>
  <si>
    <t>Couplage de groupe et prise de charge à 20 MW</t>
  </si>
  <si>
    <t>Séquence complete FSNL</t>
  </si>
  <si>
    <t>16h20</t>
  </si>
  <si>
    <t xml:space="preserve">Monté de charge à 50 MW </t>
  </si>
  <si>
    <t xml:space="preserve">16h23 </t>
  </si>
  <si>
    <t>Téléreglage en mode dispatching</t>
  </si>
  <si>
    <t>19h44</t>
  </si>
  <si>
    <t>23h57</t>
  </si>
  <si>
    <t>Ordre d'arret  TG</t>
  </si>
  <si>
    <t>TG en phase d'arrêt</t>
  </si>
  <si>
    <t xml:space="preserve">Rapport journalier chef de bloc 
25/04/2026  </t>
  </si>
  <si>
    <t>00h05</t>
  </si>
  <si>
    <t>00h12</t>
  </si>
  <si>
    <t>00h13</t>
  </si>
  <si>
    <t>23h56</t>
  </si>
  <si>
    <t>Extinction de flamme à 25% TNH</t>
  </si>
  <si>
    <t>18h44</t>
  </si>
  <si>
    <t>18h45</t>
  </si>
  <si>
    <t>18h49</t>
  </si>
  <si>
    <t>18h54</t>
  </si>
  <si>
    <t>18h57</t>
  </si>
  <si>
    <t>19h01</t>
  </si>
  <si>
    <t>Monté de charge à 40 MW et téléreglage en mode dispatching</t>
  </si>
  <si>
    <t>Allumage de flamme à 15,9 % TNH ; TTXM : 435°C ; BBMAX :6,10 mm/s</t>
  </si>
  <si>
    <t>Allumage de flamme à 15,9% TNH ; TTXM : 435°C ; BBMAX :6,34 mm/s</t>
  </si>
  <si>
    <t xml:space="preserve">Défaut incendie Minimax </t>
  </si>
  <si>
    <t>22h05</t>
  </si>
  <si>
    <t>22h55</t>
  </si>
  <si>
    <t>22h56</t>
  </si>
  <si>
    <t>Découplage du groupe</t>
  </si>
  <si>
    <t>23h11</t>
  </si>
  <si>
    <t>23h12</t>
  </si>
  <si>
    <t xml:space="preserve"> "P286" Volet aeration compartiment turbine fermé</t>
  </si>
  <si>
    <t xml:space="preserve"> "p286" Volet aeration compartiment turbine fermé</t>
  </si>
  <si>
    <t>23h23</t>
  </si>
  <si>
    <t xml:space="preserve">Rapport journalier chef de bloc 
26/04/2026  </t>
  </si>
  <si>
    <t>08h44</t>
  </si>
  <si>
    <t xml:space="preserve">(P262) Alarme défaut systéme protection incendie </t>
  </si>
  <si>
    <t xml:space="preserve">Rapport journalier chef de bloc 
27/04/2026  </t>
  </si>
  <si>
    <t>09H18</t>
  </si>
  <si>
    <t xml:space="preserve">Groupe déclaré indisponible </t>
  </si>
  <si>
    <t xml:space="preserve">09h34 </t>
  </si>
  <si>
    <t xml:space="preserve">Ordre d'arret de systéme de virage </t>
  </si>
  <si>
    <t>09h48</t>
  </si>
  <si>
    <t>Virage a zero tours</t>
  </si>
  <si>
    <t>Probleme ventilation compartiment turbine</t>
  </si>
  <si>
    <t>Déclenchement par défaut de protection incendie</t>
  </si>
  <si>
    <t xml:space="preserve">Groupe sur virage </t>
  </si>
  <si>
    <t xml:space="preserve">Groupe déclaré disponible </t>
  </si>
  <si>
    <t>20h18</t>
  </si>
  <si>
    <t xml:space="preserve">Rapport journalier chef de bloc 
28/04/2026  </t>
  </si>
  <si>
    <t xml:space="preserve">Rapport journalier chef de bloc 
29/04/2026  </t>
  </si>
  <si>
    <t>18h02</t>
  </si>
  <si>
    <t>18h03</t>
  </si>
  <si>
    <t>(P519) Alarme défaut extracteur N°2 filtre air TG</t>
  </si>
  <si>
    <t>18h07</t>
  </si>
  <si>
    <t>18h12</t>
  </si>
  <si>
    <t>18h15</t>
  </si>
  <si>
    <t>(P173) Alarme écart temperature inter-roue excessif</t>
  </si>
  <si>
    <t>Allumage de flamme à 15,8 % TNH ; TTXM : 447°C ; BBMAX :5,12 mm/s</t>
  </si>
  <si>
    <t>18h19</t>
  </si>
  <si>
    <t>22h42</t>
  </si>
  <si>
    <t xml:space="preserve">Téléreglage hors service et baisse de  charge </t>
  </si>
  <si>
    <t>22h45</t>
  </si>
  <si>
    <t>22h47</t>
  </si>
  <si>
    <t>110MW</t>
  </si>
  <si>
    <t>19h04</t>
  </si>
  <si>
    <t>18h23</t>
  </si>
  <si>
    <t>18h24</t>
  </si>
  <si>
    <t xml:space="preserve">Rapport journalier chef de bloc 
30/04/2026  </t>
  </si>
  <si>
    <t>18h27</t>
  </si>
  <si>
    <t>Allumage de flamme à 15,9 % TNH ; TTXM : 438°C ; BBMAX :5,30 mm/s</t>
  </si>
  <si>
    <t>18h36</t>
  </si>
  <si>
    <t>20h16</t>
  </si>
  <si>
    <t>20h19</t>
  </si>
  <si>
    <t>83MW</t>
  </si>
  <si>
    <t>18h58</t>
  </si>
  <si>
    <t>20h21</t>
  </si>
  <si>
    <t>20h28</t>
  </si>
  <si>
    <t>20h37</t>
  </si>
  <si>
    <t>20h39</t>
  </si>
  <si>
    <t>ALM PUISSANCE REACTIVAL TERNATEUR BASSE  -124 MVAR  (-50,00)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</si>
</sst>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opperplate Gothic Light"/>
      <family val="2"/>
    </font>
    <font>
      <sz val="11"/>
      <color theme="1"/>
      <name val="Copperplate Gothic Light"/>
      <family val="2"/>
    </font>
    <font>
      <b/>
      <i/>
      <sz val="13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.5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Times New Roman"/>
      <family val="1"/>
    </font>
    <font>
      <b/>
      <i/>
      <sz val="11"/>
      <color theme="0"/>
      <name val="Calibri"/>
      <family val="2"/>
      <scheme val="minor"/>
    </font>
    <font>
      <sz val="9"/>
      <color rgb="FF000000"/>
      <name val="Arial"/>
      <family val="2"/>
    </font>
    <font>
      <b/>
      <i/>
      <sz val="12"/>
      <color theme="0"/>
      <name val="Calibri"/>
      <family val="2"/>
      <scheme val="minor"/>
    </font>
    <font>
      <b/>
      <sz val="12"/>
      <color rgb="FF000000"/>
      <name val="Arial"/>
      <family val="2"/>
    </font>
    <font>
      <b/>
      <i/>
      <sz val="14"/>
      <color theme="1"/>
      <name val="Calibri"/>
      <family val="2"/>
      <scheme val="minor"/>
    </font>
    <font>
      <sz val="18"/>
      <color theme="1"/>
      <name val="Times New Roman"/>
      <family val="1"/>
    </font>
    <font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Times New Roman"/>
      <family val="1"/>
    </font>
    <font>
      <sz val="11"/>
      <color theme="3" tint="0.399975585192419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Up">
        <bgColor theme="0" tint="-0.14996795556505021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medium">
        <color indexed="64"/>
      </bottom>
      <diagonal/>
    </border>
    <border>
      <left/>
      <right style="medium">
        <color auto="1"/>
      </right>
      <top style="double">
        <color auto="1"/>
      </top>
      <bottom style="medium">
        <color indexed="64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indexed="64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indexed="64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indexed="64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tted">
        <color auto="1"/>
      </bottom>
      <diagonal/>
    </border>
    <border>
      <left/>
      <right style="double">
        <color auto="1"/>
      </right>
      <top style="double">
        <color auto="1"/>
      </top>
      <bottom style="dotted">
        <color auto="1"/>
      </bottom>
      <diagonal/>
    </border>
    <border>
      <left style="double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/>
      <top style="dotted">
        <color auto="1"/>
      </top>
      <bottom style="double">
        <color auto="1"/>
      </bottom>
      <diagonal/>
    </border>
    <border>
      <left/>
      <right style="double">
        <color auto="1"/>
      </right>
      <top style="dotted">
        <color auto="1"/>
      </top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medium">
        <color auto="1"/>
      </right>
      <top/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double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uble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uble">
        <color auto="1"/>
      </bottom>
      <diagonal/>
    </border>
    <border>
      <left/>
      <right/>
      <top style="double">
        <color auto="1"/>
      </top>
      <bottom style="dotted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84">
    <xf numFmtId="0" fontId="0" fillId="0" borderId="0" xfId="0"/>
    <xf numFmtId="0" fontId="0" fillId="0" borderId="0" xfId="0" applyBorder="1"/>
    <xf numFmtId="0" fontId="0" fillId="4" borderId="0" xfId="0" applyFill="1"/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2" borderId="1" xfId="1" applyFont="1" applyAlignment="1" applyProtection="1">
      <alignment horizontal="center" vertical="center" wrapText="1"/>
    </xf>
    <xf numFmtId="20" fontId="5" fillId="2" borderId="1" xfId="1" applyNumberFormat="1" applyFont="1" applyAlignment="1" applyProtection="1">
      <alignment horizontal="center" vertical="center" wrapText="1"/>
    </xf>
    <xf numFmtId="0" fontId="5" fillId="2" borderId="61" xfId="1" applyFont="1" applyBorder="1" applyAlignment="1" applyProtection="1">
      <alignment horizontal="center" vertical="center" wrapText="1"/>
    </xf>
    <xf numFmtId="0" fontId="5" fillId="2" borderId="65" xfId="1" applyFont="1" applyBorder="1" applyAlignment="1" applyProtection="1">
      <alignment horizontal="center" vertical="center" wrapText="1"/>
    </xf>
    <xf numFmtId="0" fontId="10" fillId="0" borderId="68" xfId="0" applyFont="1" applyBorder="1" applyAlignment="1">
      <alignment vertical="center"/>
    </xf>
    <xf numFmtId="0" fontId="18" fillId="8" borderId="24" xfId="0" applyFont="1" applyFill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vertical="center" wrapText="1"/>
      <protection locked="0"/>
    </xf>
    <xf numFmtId="0" fontId="0" fillId="7" borderId="0" xfId="0" applyFill="1"/>
    <xf numFmtId="0" fontId="11" fillId="7" borderId="0" xfId="0" applyFont="1" applyFill="1" applyBorder="1" applyAlignment="1">
      <alignment horizontal="left" vertical="center"/>
    </xf>
    <xf numFmtId="0" fontId="10" fillId="7" borderId="0" xfId="0" applyFont="1" applyFill="1" applyBorder="1" applyAlignment="1" applyProtection="1">
      <alignment horizontal="center" vertical="center" wrapText="1"/>
      <protection locked="0"/>
    </xf>
    <xf numFmtId="0" fontId="10" fillId="7" borderId="0" xfId="0" applyFont="1" applyFill="1" applyBorder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  <xf numFmtId="0" fontId="2" fillId="0" borderId="0" xfId="0" applyFont="1" applyBorder="1" applyAlignment="1"/>
    <xf numFmtId="0" fontId="2" fillId="0" borderId="0" xfId="0" applyFont="1" applyBorder="1"/>
    <xf numFmtId="0" fontId="24" fillId="0" borderId="0" xfId="0" applyFont="1"/>
    <xf numFmtId="0" fontId="24" fillId="0" borderId="0" xfId="0" applyFont="1" applyBorder="1" applyAlignment="1"/>
    <xf numFmtId="0" fontId="24" fillId="0" borderId="0" xfId="0" applyFont="1" applyFill="1" applyBorder="1" applyAlignment="1"/>
    <xf numFmtId="0" fontId="24" fillId="0" borderId="0" xfId="0" applyFont="1" applyBorder="1"/>
    <xf numFmtId="0" fontId="25" fillId="0" borderId="0" xfId="0" applyFont="1" applyBorder="1"/>
    <xf numFmtId="0" fontId="25" fillId="0" borderId="0" xfId="0" applyFont="1" applyFill="1" applyBorder="1"/>
    <xf numFmtId="0" fontId="5" fillId="0" borderId="0" xfId="0" applyFont="1" applyBorder="1"/>
    <xf numFmtId="0" fontId="5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0" fillId="0" borderId="15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14" xfId="0" applyFont="1" applyBorder="1" applyAlignment="1" applyProtection="1">
      <alignment horizontal="center" vertical="center"/>
      <protection locked="0"/>
    </xf>
    <xf numFmtId="0" fontId="10" fillId="5" borderId="17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0" fontId="10" fillId="5" borderId="26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0" fillId="0" borderId="22" xfId="0" applyFont="1" applyBorder="1" applyAlignment="1" applyProtection="1">
      <alignment horizontal="center" vertical="center"/>
      <protection locked="0"/>
    </xf>
    <xf numFmtId="0" fontId="10" fillId="0" borderId="23" xfId="0" applyFont="1" applyBorder="1" applyAlignment="1" applyProtection="1">
      <alignment horizontal="center" vertical="center"/>
      <protection locked="0"/>
    </xf>
    <xf numFmtId="0" fontId="10" fillId="6" borderId="24" xfId="0" applyFont="1" applyFill="1" applyBorder="1" applyAlignment="1">
      <alignment horizontal="center" vertical="center"/>
    </xf>
    <xf numFmtId="0" fontId="10" fillId="6" borderId="51" xfId="0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37" xfId="0" applyBorder="1" applyAlignment="1" applyProtection="1">
      <alignment horizontal="center" vertical="center"/>
      <protection locked="0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0" fillId="0" borderId="43" xfId="0" applyBorder="1" applyAlignment="1" applyProtection="1">
      <alignment horizontal="center" vertical="center"/>
      <protection locked="0"/>
    </xf>
    <xf numFmtId="0" fontId="0" fillId="0" borderId="44" xfId="0" applyFont="1" applyBorder="1" applyAlignment="1" applyProtection="1">
      <alignment horizontal="center" vertical="center"/>
      <protection locked="0"/>
    </xf>
    <xf numFmtId="0" fontId="11" fillId="0" borderId="28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0" fillId="0" borderId="30" xfId="0" applyFont="1" applyBorder="1" applyAlignment="1" applyProtection="1">
      <alignment horizontal="center" vertical="center"/>
      <protection locked="0"/>
    </xf>
    <xf numFmtId="0" fontId="10" fillId="0" borderId="31" xfId="0" applyFont="1" applyBorder="1" applyAlignment="1" applyProtection="1">
      <alignment horizontal="center" vertical="center"/>
      <protection locked="0"/>
    </xf>
    <xf numFmtId="0" fontId="13" fillId="0" borderId="5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0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14" fillId="0" borderId="54" xfId="0" applyFont="1" applyBorder="1" applyAlignment="1" applyProtection="1">
      <alignment horizontal="center" vertical="center"/>
      <protection locked="0"/>
    </xf>
    <xf numFmtId="0" fontId="14" fillId="0" borderId="55" xfId="0" applyFont="1" applyBorder="1" applyAlignment="1" applyProtection="1">
      <alignment horizontal="center" vertical="center"/>
      <protection locked="0"/>
    </xf>
    <xf numFmtId="0" fontId="10" fillId="5" borderId="45" xfId="0" applyFont="1" applyFill="1" applyBorder="1" applyAlignment="1">
      <alignment horizontal="center" vertical="center"/>
    </xf>
    <xf numFmtId="0" fontId="10" fillId="5" borderId="46" xfId="0" applyFont="1" applyFill="1" applyBorder="1" applyAlignment="1">
      <alignment horizontal="center" vertical="center"/>
    </xf>
    <xf numFmtId="0" fontId="10" fillId="5" borderId="47" xfId="0" applyFont="1" applyFill="1" applyBorder="1" applyAlignment="1">
      <alignment horizontal="center" vertical="center"/>
    </xf>
    <xf numFmtId="0" fontId="10" fillId="5" borderId="48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120" xfId="0" applyBorder="1" applyAlignment="1" applyProtection="1">
      <alignment horizontal="center" vertical="center"/>
      <protection locked="0"/>
    </xf>
    <xf numFmtId="0" fontId="10" fillId="0" borderId="56" xfId="0" applyFont="1" applyBorder="1" applyAlignment="1">
      <alignment horizontal="center" vertical="center"/>
    </xf>
    <xf numFmtId="0" fontId="15" fillId="4" borderId="36" xfId="0" applyFont="1" applyFill="1" applyBorder="1" applyAlignment="1">
      <alignment horizontal="center" vertical="center"/>
    </xf>
    <xf numFmtId="0" fontId="15" fillId="4" borderId="57" xfId="0" applyFont="1" applyFill="1" applyBorder="1" applyAlignment="1">
      <alignment horizontal="center" vertical="center"/>
    </xf>
    <xf numFmtId="0" fontId="15" fillId="4" borderId="37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0" fontId="10" fillId="0" borderId="21" xfId="0" applyFont="1" applyBorder="1" applyAlignment="1" applyProtection="1">
      <alignment horizontal="center" vertical="center"/>
      <protection locked="0"/>
    </xf>
    <xf numFmtId="0" fontId="10" fillId="0" borderId="50" xfId="0" applyFont="1" applyBorder="1" applyAlignment="1" applyProtection="1">
      <alignment horizontal="center" vertical="center"/>
      <protection locked="0"/>
    </xf>
    <xf numFmtId="0" fontId="10" fillId="0" borderId="43" xfId="0" applyFont="1" applyBorder="1" applyAlignment="1" applyProtection="1">
      <alignment horizontal="center" vertical="center"/>
      <protection locked="0"/>
    </xf>
    <xf numFmtId="0" fontId="10" fillId="0" borderId="44" xfId="0" applyFont="1" applyBorder="1" applyAlignment="1" applyProtection="1">
      <alignment horizontal="center" vertical="center"/>
      <protection locked="0"/>
    </xf>
    <xf numFmtId="0" fontId="13" fillId="0" borderId="58" xfId="0" applyFont="1" applyBorder="1" applyAlignment="1">
      <alignment horizontal="left" vertical="center" wrapText="1"/>
    </xf>
    <xf numFmtId="0" fontId="13" fillId="0" borderId="59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13" fillId="0" borderId="62" xfId="0" applyFont="1" applyBorder="1" applyAlignment="1">
      <alignment horizontal="left" vertical="center" wrapText="1"/>
    </xf>
    <xf numFmtId="0" fontId="13" fillId="0" borderId="63" xfId="0" applyFont="1" applyBorder="1" applyAlignment="1">
      <alignment horizontal="left" vertical="center" wrapText="1"/>
    </xf>
    <xf numFmtId="0" fontId="13" fillId="0" borderId="64" xfId="0" applyFont="1" applyBorder="1" applyAlignment="1">
      <alignment horizontal="left" vertical="center" wrapText="1"/>
    </xf>
    <xf numFmtId="0" fontId="10" fillId="0" borderId="52" xfId="0" applyFont="1" applyBorder="1" applyAlignment="1">
      <alignment horizontal="left" vertical="center"/>
    </xf>
    <xf numFmtId="0" fontId="10" fillId="0" borderId="53" xfId="0" applyFont="1" applyBorder="1" applyAlignment="1">
      <alignment horizontal="left" vertical="center"/>
    </xf>
    <xf numFmtId="0" fontId="10" fillId="5" borderId="54" xfId="0" applyFont="1" applyFill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0" fillId="5" borderId="66" xfId="0" applyFont="1" applyFill="1" applyBorder="1" applyAlignment="1">
      <alignment horizontal="center" vertical="center"/>
    </xf>
    <xf numFmtId="0" fontId="12" fillId="0" borderId="72" xfId="0" applyFont="1" applyFill="1" applyBorder="1" applyAlignment="1">
      <alignment horizontal="center" vertical="center" wrapText="1"/>
    </xf>
    <xf numFmtId="0" fontId="12" fillId="0" borderId="73" xfId="0" applyFont="1" applyFill="1" applyBorder="1" applyAlignment="1">
      <alignment horizontal="center" vertical="center" wrapText="1"/>
    </xf>
    <xf numFmtId="0" fontId="12" fillId="0" borderId="74" xfId="0" applyFont="1" applyFill="1" applyBorder="1" applyAlignment="1">
      <alignment horizontal="center" vertical="center" wrapText="1"/>
    </xf>
    <xf numFmtId="0" fontId="13" fillId="7" borderId="51" xfId="0" applyFont="1" applyFill="1" applyBorder="1" applyAlignment="1">
      <alignment horizontal="left" vertical="center" wrapText="1"/>
    </xf>
    <xf numFmtId="0" fontId="13" fillId="7" borderId="21" xfId="0" applyFont="1" applyFill="1" applyBorder="1" applyAlignment="1">
      <alignment horizontal="left" vertical="center" wrapText="1"/>
    </xf>
    <xf numFmtId="0" fontId="13" fillId="7" borderId="23" xfId="0" applyFont="1" applyFill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10" fillId="0" borderId="36" xfId="0" applyFont="1" applyBorder="1" applyAlignment="1" applyProtection="1">
      <alignment horizontal="center" vertical="center" wrapText="1"/>
      <protection locked="0"/>
    </xf>
    <xf numFmtId="0" fontId="10" fillId="5" borderId="36" xfId="0" applyFont="1" applyFill="1" applyBorder="1" applyAlignment="1">
      <alignment horizontal="center" vertical="center" wrapText="1"/>
    </xf>
    <xf numFmtId="0" fontId="10" fillId="5" borderId="37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3" fillId="7" borderId="62" xfId="0" applyFont="1" applyFill="1" applyBorder="1" applyAlignment="1">
      <alignment horizontal="left" vertical="center" wrapText="1"/>
    </xf>
    <xf numFmtId="0" fontId="13" fillId="7" borderId="63" xfId="0" applyFont="1" applyFill="1" applyBorder="1" applyAlignment="1">
      <alignment horizontal="left" vertical="center" wrapText="1"/>
    </xf>
    <xf numFmtId="0" fontId="13" fillId="7" borderId="64" xfId="0" applyFont="1" applyFill="1" applyBorder="1" applyAlignment="1">
      <alignment horizontal="left" vertical="center" wrapText="1"/>
    </xf>
    <xf numFmtId="0" fontId="16" fillId="7" borderId="51" xfId="0" applyFont="1" applyFill="1" applyBorder="1" applyAlignment="1">
      <alignment horizontal="left" vertical="center" wrapText="1"/>
    </xf>
    <xf numFmtId="0" fontId="16" fillId="7" borderId="21" xfId="0" applyFont="1" applyFill="1" applyBorder="1" applyAlignment="1">
      <alignment horizontal="left" vertical="center" wrapText="1"/>
    </xf>
    <xf numFmtId="0" fontId="16" fillId="7" borderId="23" xfId="0" applyFont="1" applyFill="1" applyBorder="1" applyAlignment="1">
      <alignment horizontal="left" vertical="center" wrapText="1"/>
    </xf>
    <xf numFmtId="0" fontId="17" fillId="4" borderId="69" xfId="0" applyFont="1" applyFill="1" applyBorder="1" applyAlignment="1">
      <alignment horizontal="center" vertical="center"/>
    </xf>
    <xf numFmtId="0" fontId="17" fillId="4" borderId="70" xfId="0" applyFont="1" applyFill="1" applyBorder="1" applyAlignment="1">
      <alignment horizontal="center" vertical="center"/>
    </xf>
    <xf numFmtId="0" fontId="17" fillId="4" borderId="71" xfId="0" applyFont="1" applyFill="1" applyBorder="1" applyAlignment="1">
      <alignment horizontal="center" vertical="center"/>
    </xf>
    <xf numFmtId="0" fontId="10" fillId="0" borderId="54" xfId="0" applyFont="1" applyBorder="1" applyAlignment="1" applyProtection="1">
      <alignment horizontal="center" vertical="center" wrapText="1"/>
      <protection locked="0"/>
    </xf>
    <xf numFmtId="0" fontId="10" fillId="0" borderId="29" xfId="0" applyFont="1" applyBorder="1" applyAlignment="1" applyProtection="1">
      <alignment horizontal="center" vertical="center" wrapText="1"/>
      <protection locked="0"/>
    </xf>
    <xf numFmtId="0" fontId="10" fillId="0" borderId="66" xfId="0" applyFont="1" applyBorder="1" applyAlignment="1" applyProtection="1">
      <alignment horizontal="center" vertical="center" wrapText="1"/>
      <protection locked="0"/>
    </xf>
    <xf numFmtId="0" fontId="12" fillId="0" borderId="75" xfId="0" applyFont="1" applyFill="1" applyBorder="1" applyAlignment="1">
      <alignment horizontal="center" vertical="center" wrapText="1"/>
    </xf>
    <xf numFmtId="0" fontId="12" fillId="0" borderId="76" xfId="0" applyFont="1" applyFill="1" applyBorder="1" applyAlignment="1">
      <alignment horizontal="center" vertical="center" wrapText="1"/>
    </xf>
    <xf numFmtId="0" fontId="12" fillId="0" borderId="77" xfId="0" applyFont="1" applyFill="1" applyBorder="1" applyAlignment="1">
      <alignment horizontal="center" vertical="center" wrapText="1"/>
    </xf>
    <xf numFmtId="0" fontId="11" fillId="0" borderId="42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0" fillId="0" borderId="43" xfId="0" applyFont="1" applyBorder="1" applyAlignment="1" applyProtection="1">
      <alignment horizontal="center" vertical="center" wrapText="1"/>
      <protection locked="0"/>
    </xf>
    <xf numFmtId="0" fontId="10" fillId="0" borderId="22" xfId="0" applyFont="1" applyBorder="1" applyAlignment="1" applyProtection="1">
      <alignment horizontal="center" vertical="center" wrapText="1"/>
      <protection locked="0"/>
    </xf>
    <xf numFmtId="0" fontId="10" fillId="0" borderId="21" xfId="0" applyFont="1" applyBorder="1" applyAlignment="1" applyProtection="1">
      <alignment horizontal="center" vertical="center" wrapText="1"/>
      <protection locked="0"/>
    </xf>
    <xf numFmtId="0" fontId="10" fillId="0" borderId="50" xfId="0" applyFont="1" applyBorder="1" applyAlignment="1" applyProtection="1">
      <alignment horizontal="center" vertical="center" wrapText="1"/>
      <protection locked="0"/>
    </xf>
    <xf numFmtId="0" fontId="11" fillId="0" borderId="52" xfId="0" applyFont="1" applyBorder="1" applyAlignment="1">
      <alignment horizontal="left" vertical="center"/>
    </xf>
    <xf numFmtId="0" fontId="11" fillId="0" borderId="53" xfId="0" applyFont="1" applyBorder="1" applyAlignment="1">
      <alignment horizontal="left" vertical="center"/>
    </xf>
    <xf numFmtId="0" fontId="10" fillId="0" borderId="55" xfId="0" applyFont="1" applyBorder="1" applyAlignment="1" applyProtection="1">
      <alignment horizontal="center" vertical="center" wrapText="1"/>
      <protection locked="0"/>
    </xf>
    <xf numFmtId="0" fontId="10" fillId="0" borderId="57" xfId="0" applyFont="1" applyBorder="1" applyAlignment="1" applyProtection="1">
      <alignment horizontal="center" vertical="center" wrapText="1"/>
      <protection locked="0"/>
    </xf>
    <xf numFmtId="0" fontId="10" fillId="0" borderId="78" xfId="0" applyFont="1" applyBorder="1" applyAlignment="1" applyProtection="1">
      <alignment horizontal="center" vertical="center" wrapText="1"/>
      <protection locked="0"/>
    </xf>
    <xf numFmtId="0" fontId="10" fillId="0" borderId="56" xfId="0" applyFont="1" applyBorder="1" applyAlignment="1" applyProtection="1">
      <alignment horizontal="center" vertical="center" wrapText="1"/>
      <protection locked="0"/>
    </xf>
    <xf numFmtId="0" fontId="19" fillId="0" borderId="5" xfId="0" applyFon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left"/>
    </xf>
    <xf numFmtId="0" fontId="0" fillId="0" borderId="82" xfId="0" applyBorder="1"/>
    <xf numFmtId="0" fontId="0" fillId="0" borderId="83" xfId="0" applyBorder="1"/>
    <xf numFmtId="0" fontId="0" fillId="0" borderId="81" xfId="0" applyBorder="1" applyAlignment="1">
      <alignment horizontal="center"/>
    </xf>
    <xf numFmtId="0" fontId="0" fillId="0" borderId="83" xfId="0" applyBorder="1" applyAlignment="1">
      <alignment horizontal="center"/>
    </xf>
    <xf numFmtId="0" fontId="10" fillId="0" borderId="53" xfId="0" applyFont="1" applyBorder="1" applyAlignment="1" applyProtection="1">
      <alignment horizontal="center" vertical="center" wrapText="1"/>
      <protection locked="0"/>
    </xf>
    <xf numFmtId="20" fontId="0" fillId="0" borderId="84" xfId="0" applyNumberFormat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5" fillId="0" borderId="81" xfId="0" applyFont="1" applyBorder="1" applyAlignment="1">
      <alignment horizontal="left"/>
    </xf>
    <xf numFmtId="0" fontId="0" fillId="0" borderId="84" xfId="0" applyBorder="1" applyAlignment="1">
      <alignment horizontal="center"/>
    </xf>
    <xf numFmtId="20" fontId="0" fillId="0" borderId="81" xfId="0" applyNumberFormat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1" xfId="0" applyBorder="1" applyAlignment="1">
      <alignment horizontal="left" vertical="center"/>
    </xf>
    <xf numFmtId="0" fontId="0" fillId="0" borderId="82" xfId="0" applyBorder="1" applyAlignment="1">
      <alignment vertical="center"/>
    </xf>
    <xf numFmtId="0" fontId="0" fillId="0" borderId="83" xfId="0" applyBorder="1" applyAlignment="1">
      <alignment vertical="center"/>
    </xf>
    <xf numFmtId="20" fontId="0" fillId="0" borderId="84" xfId="0" applyNumberFormat="1" applyBorder="1" applyAlignment="1">
      <alignment horizontal="center"/>
    </xf>
    <xf numFmtId="0" fontId="0" fillId="0" borderId="84" xfId="0" applyFont="1" applyBorder="1" applyAlignment="1">
      <alignment horizontal="center"/>
    </xf>
    <xf numFmtId="0" fontId="5" fillId="7" borderId="81" xfId="0" applyFont="1" applyFill="1" applyBorder="1" applyAlignment="1">
      <alignment horizontal="left" vertical="center"/>
    </xf>
    <xf numFmtId="0" fontId="5" fillId="7" borderId="82" xfId="0" applyFont="1" applyFill="1" applyBorder="1" applyAlignment="1">
      <alignment vertical="center"/>
    </xf>
    <xf numFmtId="0" fontId="5" fillId="7" borderId="83" xfId="0" applyFont="1" applyFill="1" applyBorder="1" applyAlignment="1">
      <alignment vertical="center"/>
    </xf>
    <xf numFmtId="20" fontId="26" fillId="0" borderId="84" xfId="0" applyNumberFormat="1" applyFont="1" applyBorder="1" applyAlignment="1">
      <alignment horizontal="center"/>
    </xf>
    <xf numFmtId="0" fontId="26" fillId="0" borderId="81" xfId="0" applyFont="1" applyBorder="1" applyAlignment="1">
      <alignment horizontal="left"/>
    </xf>
    <xf numFmtId="0" fontId="0" fillId="0" borderId="82" xfId="0" applyBorder="1" applyAlignment="1">
      <alignment horizontal="left"/>
    </xf>
    <xf numFmtId="0" fontId="0" fillId="0" borderId="83" xfId="0" applyBorder="1" applyAlignment="1">
      <alignment horizontal="left"/>
    </xf>
    <xf numFmtId="0" fontId="5" fillId="0" borderId="82" xfId="0" applyFont="1" applyBorder="1" applyAlignment="1">
      <alignment horizontal="left"/>
    </xf>
    <xf numFmtId="0" fontId="5" fillId="0" borderId="83" xfId="0" applyFont="1" applyBorder="1" applyAlignment="1">
      <alignment horizontal="left"/>
    </xf>
    <xf numFmtId="20" fontId="0" fillId="0" borderId="81" xfId="0" applyNumberFormat="1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86" xfId="0" applyBorder="1" applyAlignment="1">
      <alignment horizontal="center"/>
    </xf>
    <xf numFmtId="0" fontId="20" fillId="0" borderId="88" xfId="0" applyFont="1" applyBorder="1" applyAlignment="1">
      <alignment horizontal="center" vertical="center"/>
    </xf>
    <xf numFmtId="0" fontId="20" fillId="0" borderId="89" xfId="0" applyFont="1" applyBorder="1" applyAlignment="1">
      <alignment horizontal="center" vertical="center"/>
    </xf>
    <xf numFmtId="0" fontId="20" fillId="0" borderId="90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0" fontId="22" fillId="0" borderId="93" xfId="0" applyFont="1" applyBorder="1" applyAlignment="1">
      <alignment horizontal="center" vertical="center"/>
    </xf>
    <xf numFmtId="0" fontId="0" fillId="0" borderId="85" xfId="0" applyBorder="1" applyAlignment="1">
      <alignment horizontal="left"/>
    </xf>
    <xf numFmtId="0" fontId="0" fillId="0" borderId="87" xfId="0" applyBorder="1" applyAlignment="1">
      <alignment horizontal="left"/>
    </xf>
    <xf numFmtId="0" fontId="0" fillId="0" borderId="86" xfId="0" applyBorder="1" applyAlignment="1">
      <alignment horizontal="left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23" fillId="0" borderId="101" xfId="0" applyFont="1" applyBorder="1" applyAlignment="1">
      <alignment horizontal="left" vertical="center"/>
    </xf>
    <xf numFmtId="0" fontId="22" fillId="0" borderId="102" xfId="0" applyFont="1" applyBorder="1" applyAlignment="1">
      <alignment horizontal="left" vertical="center"/>
    </xf>
    <xf numFmtId="0" fontId="22" fillId="0" borderId="103" xfId="0" applyFont="1" applyBorder="1" applyAlignment="1">
      <alignment horizontal="left" vertical="center"/>
    </xf>
    <xf numFmtId="0" fontId="0" fillId="0" borderId="99" xfId="0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95" xfId="0" applyBorder="1" applyAlignment="1">
      <alignment horizontal="center"/>
    </xf>
    <xf numFmtId="0" fontId="23" fillId="0" borderId="96" xfId="0" applyFont="1" applyBorder="1" applyAlignment="1">
      <alignment horizontal="left"/>
    </xf>
    <xf numFmtId="0" fontId="22" fillId="0" borderId="97" xfId="0" applyFont="1" applyBorder="1" applyAlignment="1">
      <alignment horizontal="left"/>
    </xf>
    <xf numFmtId="0" fontId="22" fillId="0" borderId="98" xfId="0" applyFont="1" applyBorder="1" applyAlignment="1">
      <alignment horizontal="left"/>
    </xf>
    <xf numFmtId="0" fontId="23" fillId="0" borderId="104" xfId="0" applyFont="1" applyBorder="1" applyAlignment="1">
      <alignment horizontal="left"/>
    </xf>
    <xf numFmtId="0" fontId="22" fillId="0" borderId="105" xfId="0" applyFont="1" applyBorder="1" applyAlignment="1">
      <alignment horizontal="left"/>
    </xf>
    <xf numFmtId="0" fontId="22" fillId="0" borderId="106" xfId="0" applyFont="1" applyBorder="1" applyAlignment="1">
      <alignment horizontal="left"/>
    </xf>
    <xf numFmtId="0" fontId="22" fillId="0" borderId="101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5" fillId="0" borderId="113" xfId="0" applyFont="1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0" fontId="3" fillId="0" borderId="108" xfId="0" applyFont="1" applyBorder="1" applyAlignment="1">
      <alignment horizontal="center" vertical="center"/>
    </xf>
    <xf numFmtId="0" fontId="3" fillId="0" borderId="109" xfId="0" applyFont="1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82" xfId="0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20" fontId="5" fillId="0" borderId="84" xfId="0" applyNumberFormat="1" applyFont="1" applyBorder="1" applyAlignment="1">
      <alignment horizontal="center"/>
    </xf>
    <xf numFmtId="0" fontId="2" fillId="7" borderId="81" xfId="0" applyFont="1" applyFill="1" applyBorder="1" applyAlignment="1">
      <alignment horizontal="left" vertical="center"/>
    </xf>
    <xf numFmtId="0" fontId="5" fillId="7" borderId="81" xfId="0" applyFont="1" applyFill="1" applyBorder="1" applyAlignment="1">
      <alignment horizontal="left" vertical="center" wrapText="1"/>
    </xf>
    <xf numFmtId="0" fontId="2" fillId="0" borderId="81" xfId="0" applyFont="1" applyBorder="1" applyAlignment="1">
      <alignment horizontal="left"/>
    </xf>
    <xf numFmtId="0" fontId="0" fillId="0" borderId="79" xfId="0" applyBorder="1" applyAlignment="1">
      <alignment horizontal="left" vertical="center"/>
    </xf>
    <xf numFmtId="0" fontId="0" fillId="0" borderId="119" xfId="0" applyBorder="1" applyAlignment="1">
      <alignment horizontal="left" vertical="center"/>
    </xf>
    <xf numFmtId="0" fontId="0" fillId="0" borderId="80" xfId="0" applyBorder="1" applyAlignment="1">
      <alignment horizontal="left" vertical="center"/>
    </xf>
    <xf numFmtId="0" fontId="2" fillId="7" borderId="81" xfId="0" applyFont="1" applyFill="1" applyBorder="1" applyAlignment="1">
      <alignment horizontal="left" vertical="center" wrapText="1"/>
    </xf>
    <xf numFmtId="0" fontId="0" fillId="0" borderId="82" xfId="0" applyFont="1" applyBorder="1" applyAlignment="1">
      <alignment vertical="center"/>
    </xf>
    <xf numFmtId="0" fontId="0" fillId="0" borderId="83" xfId="0" applyFont="1" applyBorder="1" applyAlignment="1">
      <alignment vertical="center"/>
    </xf>
    <xf numFmtId="0" fontId="0" fillId="0" borderId="81" xfId="0" applyBorder="1" applyAlignment="1"/>
    <xf numFmtId="0" fontId="0" fillId="0" borderId="82" xfId="0" applyBorder="1" applyAlignment="1"/>
    <xf numFmtId="0" fontId="0" fillId="0" borderId="83" xfId="0" applyBorder="1" applyAlignment="1"/>
    <xf numFmtId="0" fontId="2" fillId="0" borderId="81" xfId="0" applyFont="1" applyBorder="1" applyAlignment="1">
      <alignment horizontal="left" vertical="center"/>
    </xf>
    <xf numFmtId="0" fontId="2" fillId="0" borderId="82" xfId="0" applyFont="1" applyBorder="1" applyAlignment="1">
      <alignment horizontal="left" vertical="center"/>
    </xf>
    <xf numFmtId="0" fontId="2" fillId="0" borderId="83" xfId="0" applyFont="1" applyBorder="1" applyAlignment="1">
      <alignment horizontal="left" vertical="center"/>
    </xf>
    <xf numFmtId="20" fontId="0" fillId="0" borderId="83" xfId="0" applyNumberFormat="1" applyBorder="1" applyAlignment="1">
      <alignment horizontal="center" vertical="center"/>
    </xf>
    <xf numFmtId="0" fontId="5" fillId="0" borderId="81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5" fillId="0" borderId="83" xfId="0" applyFont="1" applyBorder="1" applyAlignment="1">
      <alignment horizontal="center"/>
    </xf>
    <xf numFmtId="0" fontId="5" fillId="0" borderId="81" xfId="0" applyFont="1" applyBorder="1" applyAlignment="1">
      <alignment horizontal="left" vertical="center"/>
    </xf>
    <xf numFmtId="0" fontId="5" fillId="0" borderId="82" xfId="0" applyFont="1" applyBorder="1" applyAlignment="1">
      <alignment vertical="center"/>
    </xf>
    <xf numFmtId="0" fontId="5" fillId="0" borderId="83" xfId="0" applyFont="1" applyBorder="1" applyAlignment="1">
      <alignment vertical="center"/>
    </xf>
    <xf numFmtId="0" fontId="5" fillId="0" borderId="82" xfId="0" applyFont="1" applyBorder="1" applyAlignment="1">
      <alignment horizontal="left" vertical="center"/>
    </xf>
    <xf numFmtId="0" fontId="5" fillId="0" borderId="83" xfId="0" applyFont="1" applyBorder="1" applyAlignment="1">
      <alignment horizontal="left" vertical="center"/>
    </xf>
    <xf numFmtId="0" fontId="5" fillId="0" borderId="82" xfId="0" applyFont="1" applyBorder="1"/>
    <xf numFmtId="0" fontId="5" fillId="0" borderId="83" xfId="0" applyFont="1" applyBorder="1"/>
    <xf numFmtId="0" fontId="5" fillId="0" borderId="81" xfId="0" applyFont="1" applyBorder="1" applyAlignment="1"/>
    <xf numFmtId="0" fontId="5" fillId="0" borderId="82" xfId="0" applyFont="1" applyBorder="1" applyAlignment="1"/>
    <xf numFmtId="0" fontId="5" fillId="0" borderId="83" xfId="0" applyFont="1" applyBorder="1" applyAlignment="1"/>
    <xf numFmtId="0" fontId="2" fillId="7" borderId="82" xfId="0" applyFont="1" applyFill="1" applyBorder="1" applyAlignment="1">
      <alignment vertical="center"/>
    </xf>
    <xf numFmtId="0" fontId="2" fillId="7" borderId="83" xfId="0" applyFont="1" applyFill="1" applyBorder="1" applyAlignment="1">
      <alignment vertical="center"/>
    </xf>
    <xf numFmtId="0" fontId="2" fillId="0" borderId="113" xfId="0" applyFont="1" applyBorder="1" applyAlignment="1">
      <alignment horizontal="center" vertical="center"/>
    </xf>
  </cellXfs>
  <cellStyles count="2">
    <cellStyle name="Calcul" xfId="1" builtinId="22"/>
    <cellStyle name="Normal" xfId="0" builtinId="0"/>
  </cellStyles>
  <dxfs count="630"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04"/>
  <sheetViews>
    <sheetView topLeftCell="A73" zoomScale="120" zoomScaleNormal="120" workbookViewId="0">
      <selection activeCell="C50" sqref="C50:O50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96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6</v>
      </c>
      <c r="E3" s="38"/>
      <c r="F3" s="38"/>
      <c r="G3" s="37" t="s">
        <v>18</v>
      </c>
      <c r="H3" s="38"/>
      <c r="I3" s="38"/>
      <c r="J3" s="37" t="s">
        <v>18</v>
      </c>
      <c r="K3" s="38"/>
      <c r="L3" s="38"/>
      <c r="M3" s="37" t="s">
        <v>6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10</v>
      </c>
      <c r="E4" s="38"/>
      <c r="F4" s="38"/>
      <c r="G4" s="38" t="s">
        <v>27</v>
      </c>
      <c r="H4" s="38"/>
      <c r="I4" s="38"/>
      <c r="J4" s="38" t="s">
        <v>27</v>
      </c>
      <c r="K4" s="38"/>
      <c r="L4" s="38"/>
      <c r="M4" s="38" t="s">
        <v>10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13</v>
      </c>
      <c r="E5" s="38"/>
      <c r="F5" s="38"/>
      <c r="G5" s="38" t="s">
        <v>19</v>
      </c>
      <c r="H5" s="38"/>
      <c r="I5" s="38"/>
      <c r="J5" s="38" t="s">
        <v>19</v>
      </c>
      <c r="K5" s="38"/>
      <c r="L5" s="38"/>
      <c r="M5" s="38" t="s">
        <v>13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 t="s">
        <v>28</v>
      </c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402486</v>
      </c>
      <c r="D10" s="48"/>
      <c r="E10" s="47">
        <v>403079</v>
      </c>
      <c r="F10" s="49"/>
      <c r="G10" s="47">
        <v>404338</v>
      </c>
      <c r="H10" s="48"/>
      <c r="I10" s="47">
        <v>404789</v>
      </c>
      <c r="J10" s="48"/>
      <c r="K10" s="47">
        <v>405016</v>
      </c>
      <c r="L10" s="48"/>
      <c r="M10" s="50">
        <f>IF(OR(K10=0,C10=0),"-",IF((K10-C10)&lt;0,"Erreur",(K10-C10)))</f>
        <v>2530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228825</v>
      </c>
      <c r="D11" s="63"/>
      <c r="E11" s="64"/>
      <c r="F11" s="64"/>
      <c r="G11" s="65"/>
      <c r="H11" s="66"/>
      <c r="I11" s="64"/>
      <c r="J11" s="64"/>
      <c r="K11" s="62">
        <v>228825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59405</v>
      </c>
      <c r="D12" s="63"/>
      <c r="E12" s="64"/>
      <c r="F12" s="64"/>
      <c r="G12" s="65"/>
      <c r="H12" s="66"/>
      <c r="I12" s="64"/>
      <c r="J12" s="64"/>
      <c r="K12" s="62">
        <v>59959</v>
      </c>
      <c r="L12" s="63"/>
      <c r="M12" s="57">
        <f>IF(OR(K12=0,C12=0),"-",IF((K12-C12)&lt;0,"Erreur",(K12-C12)))</f>
        <v>554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38926844</v>
      </c>
      <c r="D13" s="85"/>
      <c r="E13" s="84">
        <v>38929755</v>
      </c>
      <c r="F13" s="85"/>
      <c r="G13" s="84">
        <v>38934605</v>
      </c>
      <c r="H13" s="85"/>
      <c r="I13" s="84">
        <v>38936262</v>
      </c>
      <c r="J13" s="85"/>
      <c r="K13" s="84">
        <v>38937088</v>
      </c>
      <c r="L13" s="85"/>
      <c r="M13" s="57">
        <f>IF(OR(K13=0,C13=0),"-",IF((K13-C13)&lt;0,"Erreur",(K13-C13)))</f>
        <v>10244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>
        <v>118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>
        <v>10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1259</v>
      </c>
      <c r="B17" s="94"/>
      <c r="C17" s="93">
        <f>IF(OR(I10=0,G10=0),"-",IF((I10-G10)&lt;0,"Erreur",(I10-G10)))</f>
        <v>451</v>
      </c>
      <c r="D17" s="94"/>
      <c r="E17" s="95">
        <f>IF(OR(I10=0,K10=0,C10=0,E10=0),"-",IF(((K10-I10)+(E10-C10))&lt;0,"Erreur",((K10-I10)+(E10-C10))))</f>
        <v>820</v>
      </c>
      <c r="F17" s="96"/>
      <c r="G17" s="97">
        <f>SUM(A17:F17)</f>
        <v>2530</v>
      </c>
      <c r="H17" s="98"/>
      <c r="I17" s="3"/>
      <c r="J17" s="99" t="s">
        <v>44</v>
      </c>
      <c r="K17" s="100"/>
      <c r="L17" s="101" t="s">
        <v>108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118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34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19h09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38926844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38937088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745058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10244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10244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2530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10.244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2519.7559999999999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10.244</v>
      </c>
    </row>
    <row r="29" spans="1:23" ht="28.35" customHeight="1" thickTop="1" thickBot="1">
      <c r="B29" s="131" t="s">
        <v>63</v>
      </c>
      <c r="C29" s="132"/>
      <c r="D29" s="133">
        <v>733820498.60000002</v>
      </c>
      <c r="E29" s="133"/>
      <c r="F29" s="133"/>
      <c r="G29" s="133"/>
      <c r="H29" s="133">
        <v>734565556.60000002</v>
      </c>
      <c r="I29" s="133"/>
      <c r="J29" s="133"/>
      <c r="K29" s="133"/>
      <c r="L29" s="134">
        <f>IF(OR(H29=0,D29=0),"-",IF((H29-D29)&lt;0,"Erreur",(H29-D29)))</f>
        <v>745058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2331</v>
      </c>
      <c r="E33" s="159"/>
      <c r="F33" s="159"/>
      <c r="G33" s="159"/>
      <c r="H33" s="159">
        <v>2331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2258</v>
      </c>
      <c r="E35" s="159"/>
      <c r="F35" s="159"/>
      <c r="G35" s="159"/>
      <c r="H35" s="159">
        <v>2258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27613.9</v>
      </c>
      <c r="E39" s="167"/>
      <c r="F39" s="167"/>
      <c r="G39" s="168"/>
      <c r="H39" s="166">
        <v>27637.9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1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27582</v>
      </c>
      <c r="E41" s="159"/>
      <c r="F41" s="159"/>
      <c r="G41" s="159"/>
      <c r="H41" s="159">
        <v>27606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72" t="s">
        <v>95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4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97</v>
      </c>
      <c r="B46" s="188"/>
      <c r="C46" s="189" t="s">
        <v>98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1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92" t="s">
        <v>99</v>
      </c>
      <c r="B47" s="181"/>
      <c r="C47" s="193" t="s">
        <v>100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4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 t="s">
        <v>101</v>
      </c>
      <c r="B48" s="179"/>
      <c r="C48" s="180" t="s">
        <v>102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4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 t="s">
        <v>97</v>
      </c>
      <c r="B49" s="183"/>
      <c r="C49" s="172" t="s">
        <v>105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4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 t="s">
        <v>97</v>
      </c>
      <c r="B50" s="181"/>
      <c r="C50" s="172" t="s">
        <v>104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 t="s">
        <v>103</v>
      </c>
      <c r="B51" s="181"/>
      <c r="C51" s="172" t="s">
        <v>106</v>
      </c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 t="s">
        <v>25</v>
      </c>
      <c r="B52" s="176"/>
      <c r="C52" s="184" t="s">
        <v>107</v>
      </c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189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/>
      <c r="B55" s="176"/>
      <c r="C55" s="17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/>
      <c r="B56" s="181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9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/>
      <c r="B81" s="231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/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/>
      <c r="B82" s="233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170" t="s">
        <v>88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171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90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92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" name="Plage2_2_1_1_1_1"/>
    <protectedRange password="EC6D" sqref="C45 C49:C51" name="Plage2_2_3_1_1_2"/>
    <protectedRange password="EC6D" sqref="C46" name="Plage2_2_2_1_2_1_2_1_1_1_1"/>
    <protectedRange password="EC6D" sqref="C47" name="Plage2_2_1"/>
    <protectedRange password="EC6D" sqref="L48:N48 C48" name="Plage2_4_1_1"/>
  </protectedRanges>
  <mergeCells count="374"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629" priority="18" operator="containsText" text="Erreur">
      <formula>NOT(ISERROR(SEARCH("Erreur",A17)))</formula>
    </cfRule>
    <cfRule type="containsText" dxfId="628" priority="19" operator="containsText" text="Erreur">
      <formula>NOT(ISERROR(SEARCH("Erreur",A17)))</formula>
    </cfRule>
    <cfRule type="containsText" dxfId="627" priority="20" operator="containsText" text="Erreur">
      <formula>NOT(ISERROR(SEARCH("Erreur",A17)))</formula>
    </cfRule>
    <cfRule type="cellIs" dxfId="626" priority="21" operator="lessThan">
      <formula>0</formula>
    </cfRule>
  </conditionalFormatting>
  <conditionalFormatting sqref="R11">
    <cfRule type="containsText" dxfId="625" priority="17" operator="containsText" text="Erreur">
      <formula>NOT(ISERROR(SEARCH("Erreur",R11)))</formula>
    </cfRule>
  </conditionalFormatting>
  <conditionalFormatting sqref="H24:L24">
    <cfRule type="containsText" dxfId="624" priority="16" operator="containsText" text="Erreur">
      <formula>NOT(ISERROR(SEARCH("Erreur",H24)))</formula>
    </cfRule>
  </conditionalFormatting>
  <conditionalFormatting sqref="L29:N30 L32:N36">
    <cfRule type="cellIs" dxfId="623" priority="15" operator="equal">
      <formula>"Erreur"</formula>
    </cfRule>
  </conditionalFormatting>
  <conditionalFormatting sqref="M10 M11:O13">
    <cfRule type="cellIs" dxfId="622" priority="13" operator="equal">
      <formula>"-"</formula>
    </cfRule>
    <cfRule type="cellIs" dxfId="621" priority="14" operator="equal">
      <formula>"Erreur"</formula>
    </cfRule>
  </conditionalFormatting>
  <conditionalFormatting sqref="A17:D17 L25:O25 G17:H17 L29:N30 L32:N36">
    <cfRule type="cellIs" dxfId="620" priority="12" operator="equal">
      <formula>"-"</formula>
    </cfRule>
  </conditionalFormatting>
  <conditionalFormatting sqref="E17:F17">
    <cfRule type="cellIs" dxfId="619" priority="7" operator="equal">
      <formula>"-"</formula>
    </cfRule>
    <cfRule type="containsText" dxfId="618" priority="8" operator="containsText" text="Erreur">
      <formula>NOT(ISERROR(SEARCH("Erreur",E17)))</formula>
    </cfRule>
    <cfRule type="containsText" dxfId="617" priority="9" operator="containsText" text="Erreur">
      <formula>NOT(ISERROR(SEARCH("Erreur",E17)))</formula>
    </cfRule>
    <cfRule type="containsText" dxfId="616" priority="10" operator="containsText" text="Erreur">
      <formula>NOT(ISERROR(SEARCH("Erreur",E17)))</formula>
    </cfRule>
    <cfRule type="cellIs" dxfId="615" priority="11" operator="lessThan">
      <formula>0</formula>
    </cfRule>
  </conditionalFormatting>
  <conditionalFormatting sqref="D24:O24">
    <cfRule type="cellIs" dxfId="614" priority="5" operator="equal">
      <formula>"-"</formula>
    </cfRule>
    <cfRule type="containsText" dxfId="613" priority="6" operator="containsText" text="Erreur">
      <formula>NOT(ISERROR(SEARCH("Erreur",D24)))</formula>
    </cfRule>
  </conditionalFormatting>
  <conditionalFormatting sqref="L39:N42">
    <cfRule type="cellIs" dxfId="612" priority="3" operator="equal">
      <formula>"Erreur"</formula>
    </cfRule>
    <cfRule type="cellIs" dxfId="611" priority="4" operator="equal">
      <formula>"-"</formula>
    </cfRule>
  </conditionalFormatting>
  <conditionalFormatting sqref="D24:G24">
    <cfRule type="cellIs" dxfId="610" priority="1" operator="equal">
      <formula>"-"</formula>
    </cfRule>
    <cfRule type="containsText" dxfId="609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04"/>
  <sheetViews>
    <sheetView zoomScale="120" zoomScaleNormal="120" workbookViewId="0">
      <selection activeCell="L16" sqref="L16:M16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109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6</v>
      </c>
      <c r="E3" s="38"/>
      <c r="F3" s="38"/>
      <c r="G3" s="37" t="s">
        <v>6</v>
      </c>
      <c r="H3" s="38"/>
      <c r="I3" s="38"/>
      <c r="J3" s="37" t="s">
        <v>18</v>
      </c>
      <c r="K3" s="38"/>
      <c r="L3" s="38"/>
      <c r="M3" s="37" t="s">
        <v>18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10</v>
      </c>
      <c r="E4" s="38"/>
      <c r="F4" s="38"/>
      <c r="G4" s="38" t="s">
        <v>9</v>
      </c>
      <c r="H4" s="38"/>
      <c r="I4" s="38"/>
      <c r="J4" s="38" t="s">
        <v>27</v>
      </c>
      <c r="K4" s="38"/>
      <c r="L4" s="38"/>
      <c r="M4" s="38" t="s">
        <v>27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13</v>
      </c>
      <c r="E5" s="38"/>
      <c r="F5" s="38"/>
      <c r="G5" s="38" t="s">
        <v>93</v>
      </c>
      <c r="H5" s="38"/>
      <c r="I5" s="38"/>
      <c r="J5" s="38" t="s">
        <v>14</v>
      </c>
      <c r="K5" s="38"/>
      <c r="L5" s="38"/>
      <c r="M5" s="38" t="s">
        <v>19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/>
      <c r="K6" s="38"/>
      <c r="L6" s="38"/>
      <c r="M6" s="38" t="s">
        <v>28</v>
      </c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405016</v>
      </c>
      <c r="D10" s="48"/>
      <c r="E10" s="47">
        <v>405817</v>
      </c>
      <c r="F10" s="49"/>
      <c r="G10" s="47">
        <v>407040</v>
      </c>
      <c r="H10" s="48"/>
      <c r="I10" s="47">
        <v>407540</v>
      </c>
      <c r="J10" s="48"/>
      <c r="K10" s="47">
        <v>407718</v>
      </c>
      <c r="L10" s="48"/>
      <c r="M10" s="50">
        <f>IF(OR(K10=0,C10=0),"-",IF((K10-C10)&lt;0,"Erreur",(K10-C10)))</f>
        <v>2702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228825</v>
      </c>
      <c r="D11" s="63"/>
      <c r="E11" s="64"/>
      <c r="F11" s="64"/>
      <c r="G11" s="65"/>
      <c r="H11" s="66"/>
      <c r="I11" s="64"/>
      <c r="J11" s="64"/>
      <c r="K11" s="62">
        <v>228825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59959</v>
      </c>
      <c r="D12" s="63"/>
      <c r="E12" s="64"/>
      <c r="F12" s="64"/>
      <c r="G12" s="65"/>
      <c r="H12" s="66"/>
      <c r="I12" s="64"/>
      <c r="J12" s="64"/>
      <c r="K12" s="62">
        <v>60680</v>
      </c>
      <c r="L12" s="63"/>
      <c r="M12" s="57">
        <f>IF(OR(K12=0,C12=0),"-",IF((K12-C12)&lt;0,"Erreur",(K12-C12)))</f>
        <v>721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38937088</v>
      </c>
      <c r="D13" s="85"/>
      <c r="E13" s="84">
        <v>38940090</v>
      </c>
      <c r="F13" s="85"/>
      <c r="G13" s="84">
        <v>38944660</v>
      </c>
      <c r="H13" s="85"/>
      <c r="I13" s="84">
        <v>38946460</v>
      </c>
      <c r="J13" s="85"/>
      <c r="K13" s="84">
        <v>38947196</v>
      </c>
      <c r="L13" s="85"/>
      <c r="M13" s="57">
        <f>IF(OR(K13=0,C13=0),"-",IF((K13-C13)&lt;0,"Erreur",(K13-C13)))</f>
        <v>10108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115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118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1223</v>
      </c>
      <c r="B17" s="94"/>
      <c r="C17" s="93">
        <f>IF(OR(I10=0,G10=0),"-",IF((I10-G10)&lt;0,"Erreur",(I10-G10)))</f>
        <v>500</v>
      </c>
      <c r="D17" s="94"/>
      <c r="E17" s="95">
        <f>IF(OR(I10=0,K10=0,C10=0,E10=0),"-",IF(((K10-I10)+(E10-C10))&lt;0,"Erreur",((K10-I10)+(E10-C10))))</f>
        <v>979</v>
      </c>
      <c r="F17" s="96"/>
      <c r="G17" s="97">
        <f>SUM(A17:F17)</f>
        <v>2702</v>
      </c>
      <c r="H17" s="98"/>
      <c r="I17" s="3"/>
      <c r="J17" s="99" t="s">
        <v>44</v>
      </c>
      <c r="K17" s="100"/>
      <c r="L17" s="101" t="s">
        <v>116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119MW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34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20h58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38937088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38947196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785406.69999992847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10108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10108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2702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10.108000000000001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2691.8919999999998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10.108000000000001</v>
      </c>
    </row>
    <row r="29" spans="1:23" ht="28.35" customHeight="1" thickTop="1" thickBot="1">
      <c r="B29" s="131" t="s">
        <v>63</v>
      </c>
      <c r="C29" s="132"/>
      <c r="D29" s="133">
        <v>734565556.60000002</v>
      </c>
      <c r="E29" s="133"/>
      <c r="F29" s="133"/>
      <c r="G29" s="133"/>
      <c r="H29" s="133">
        <v>735350963.29999995</v>
      </c>
      <c r="I29" s="133"/>
      <c r="J29" s="133"/>
      <c r="K29" s="133"/>
      <c r="L29" s="134">
        <f>IF(OR(H29=0,D29=0),"-",IF((H29-D29)&lt;0,"Erreur",(H29-D29)))</f>
        <v>785406.69999992847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2331</v>
      </c>
      <c r="E33" s="159"/>
      <c r="F33" s="159"/>
      <c r="G33" s="159"/>
      <c r="H33" s="159">
        <v>2331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2258</v>
      </c>
      <c r="E35" s="159"/>
      <c r="F35" s="159"/>
      <c r="G35" s="159"/>
      <c r="H35" s="159">
        <v>2258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27637.9</v>
      </c>
      <c r="E39" s="167"/>
      <c r="F39" s="167"/>
      <c r="G39" s="168"/>
      <c r="H39" s="166">
        <v>27661.9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1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27606</v>
      </c>
      <c r="E41" s="159"/>
      <c r="F41" s="159"/>
      <c r="G41" s="159"/>
      <c r="H41" s="159">
        <v>27630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107</v>
      </c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6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111</v>
      </c>
      <c r="B46" s="188"/>
      <c r="C46" s="189" t="s">
        <v>110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1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 t="s">
        <v>113</v>
      </c>
      <c r="B47" s="181"/>
      <c r="C47" s="180" t="s">
        <v>112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4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 t="s">
        <v>25</v>
      </c>
      <c r="B48" s="179"/>
      <c r="C48" s="180" t="s">
        <v>114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4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/>
      <c r="B49" s="183"/>
      <c r="C49" s="17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4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/>
      <c r="B50" s="181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/>
      <c r="B51" s="181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/>
      <c r="B52" s="176"/>
      <c r="C52" s="184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189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/>
      <c r="B55" s="176"/>
      <c r="C55" s="17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/>
      <c r="B56" s="181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9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/>
      <c r="B81" s="231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/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/>
      <c r="B82" s="233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170" t="s">
        <v>88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171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90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92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 C45" name="Plage2_2_1_1_1_1"/>
    <protectedRange password="EC6D" sqref="C49:C51" name="Plage2_2_3_1_1_2"/>
    <protectedRange password="EC6D" sqref="C46" name="Plage2_2_2_1_2_1_2_1_1_1_1"/>
    <protectedRange password="EC6D" sqref="C47" name="Plage2_2_1"/>
    <protectedRange password="EC6D" sqref="L48:N48 C48" name="Plage2_4_1_1"/>
  </protectedRanges>
  <mergeCells count="374"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</mergeCells>
  <conditionalFormatting sqref="A17 C17 E17:F17">
    <cfRule type="containsText" dxfId="608" priority="18" operator="containsText" text="Erreur">
      <formula>NOT(ISERROR(SEARCH("Erreur",A17)))</formula>
    </cfRule>
    <cfRule type="containsText" dxfId="607" priority="19" operator="containsText" text="Erreur">
      <formula>NOT(ISERROR(SEARCH("Erreur",A17)))</formula>
    </cfRule>
    <cfRule type="containsText" dxfId="606" priority="20" operator="containsText" text="Erreur">
      <formula>NOT(ISERROR(SEARCH("Erreur",A17)))</formula>
    </cfRule>
    <cfRule type="cellIs" dxfId="605" priority="21" operator="lessThan">
      <formula>0</formula>
    </cfRule>
  </conditionalFormatting>
  <conditionalFormatting sqref="R11">
    <cfRule type="containsText" dxfId="604" priority="17" operator="containsText" text="Erreur">
      <formula>NOT(ISERROR(SEARCH("Erreur",R11)))</formula>
    </cfRule>
  </conditionalFormatting>
  <conditionalFormatting sqref="H24:L24">
    <cfRule type="containsText" dxfId="603" priority="16" operator="containsText" text="Erreur">
      <formula>NOT(ISERROR(SEARCH("Erreur",H24)))</formula>
    </cfRule>
  </conditionalFormatting>
  <conditionalFormatting sqref="L29:N30 L32:N36">
    <cfRule type="cellIs" dxfId="602" priority="15" operator="equal">
      <formula>"Erreur"</formula>
    </cfRule>
  </conditionalFormatting>
  <conditionalFormatting sqref="M10 M11:O13">
    <cfRule type="cellIs" dxfId="601" priority="13" operator="equal">
      <formula>"-"</formula>
    </cfRule>
    <cfRule type="cellIs" dxfId="600" priority="14" operator="equal">
      <formula>"Erreur"</formula>
    </cfRule>
  </conditionalFormatting>
  <conditionalFormatting sqref="A17:D17 L25:O25 G17:H17 L29:N30 L32:N36">
    <cfRule type="cellIs" dxfId="599" priority="12" operator="equal">
      <formula>"-"</formula>
    </cfRule>
  </conditionalFormatting>
  <conditionalFormatting sqref="E17:F17">
    <cfRule type="cellIs" dxfId="598" priority="7" operator="equal">
      <formula>"-"</formula>
    </cfRule>
    <cfRule type="containsText" dxfId="597" priority="8" operator="containsText" text="Erreur">
      <formula>NOT(ISERROR(SEARCH("Erreur",E17)))</formula>
    </cfRule>
    <cfRule type="containsText" dxfId="596" priority="9" operator="containsText" text="Erreur">
      <formula>NOT(ISERROR(SEARCH("Erreur",E17)))</formula>
    </cfRule>
    <cfRule type="containsText" dxfId="595" priority="10" operator="containsText" text="Erreur">
      <formula>NOT(ISERROR(SEARCH("Erreur",E17)))</formula>
    </cfRule>
    <cfRule type="cellIs" dxfId="594" priority="11" operator="lessThan">
      <formula>0</formula>
    </cfRule>
  </conditionalFormatting>
  <conditionalFormatting sqref="D24:O24">
    <cfRule type="cellIs" dxfId="593" priority="5" operator="equal">
      <formula>"-"</formula>
    </cfRule>
    <cfRule type="containsText" dxfId="592" priority="6" operator="containsText" text="Erreur">
      <formula>NOT(ISERROR(SEARCH("Erreur",D24)))</formula>
    </cfRule>
  </conditionalFormatting>
  <conditionalFormatting sqref="L39:N42">
    <cfRule type="cellIs" dxfId="591" priority="3" operator="equal">
      <formula>"Erreur"</formula>
    </cfRule>
    <cfRule type="cellIs" dxfId="590" priority="4" operator="equal">
      <formula>"-"</formula>
    </cfRule>
  </conditionalFormatting>
  <conditionalFormatting sqref="D24:G24">
    <cfRule type="cellIs" dxfId="589" priority="1" operator="equal">
      <formula>"-"</formula>
    </cfRule>
    <cfRule type="containsText" dxfId="588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04"/>
  <sheetViews>
    <sheetView zoomScale="120" zoomScaleNormal="120" workbookViewId="0">
      <selection sqref="A1:O1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117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18</v>
      </c>
      <c r="E3" s="38"/>
      <c r="F3" s="38"/>
      <c r="G3" s="37" t="s">
        <v>6</v>
      </c>
      <c r="H3" s="38"/>
      <c r="I3" s="38"/>
      <c r="J3" s="37" t="s">
        <v>18</v>
      </c>
      <c r="K3" s="38"/>
      <c r="L3" s="38"/>
      <c r="M3" s="37" t="s">
        <v>6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27</v>
      </c>
      <c r="E4" s="38"/>
      <c r="F4" s="38"/>
      <c r="G4" s="38" t="s">
        <v>8</v>
      </c>
      <c r="H4" s="38"/>
      <c r="I4" s="38"/>
      <c r="J4" s="38" t="s">
        <v>9</v>
      </c>
      <c r="K4" s="38"/>
      <c r="L4" s="38"/>
      <c r="M4" s="38" t="s">
        <v>27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19</v>
      </c>
      <c r="E5" s="38"/>
      <c r="F5" s="38"/>
      <c r="G5" s="38" t="s">
        <v>93</v>
      </c>
      <c r="H5" s="38"/>
      <c r="I5" s="38"/>
      <c r="J5" s="38" t="s">
        <v>93</v>
      </c>
      <c r="K5" s="38"/>
      <c r="L5" s="38"/>
      <c r="M5" s="38" t="s">
        <v>19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 t="s">
        <v>28</v>
      </c>
      <c r="E6" s="38"/>
      <c r="F6" s="38"/>
      <c r="G6" s="38"/>
      <c r="H6" s="38"/>
      <c r="I6" s="38"/>
      <c r="J6" s="38"/>
      <c r="K6" s="38"/>
      <c r="L6" s="38"/>
      <c r="M6" s="38" t="s">
        <v>28</v>
      </c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407718</v>
      </c>
      <c r="D10" s="48"/>
      <c r="E10" s="47">
        <v>408401</v>
      </c>
      <c r="F10" s="49"/>
      <c r="G10" s="47">
        <v>409659</v>
      </c>
      <c r="H10" s="48"/>
      <c r="I10" s="47">
        <v>410100</v>
      </c>
      <c r="J10" s="48"/>
      <c r="K10" s="47">
        <v>410345</v>
      </c>
      <c r="L10" s="48"/>
      <c r="M10" s="50">
        <f>IF(OR(K10=0,C10=0),"-",IF((K10-C10)&lt;0,"Erreur",(K10-C10)))</f>
        <v>2627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228825</v>
      </c>
      <c r="D11" s="63"/>
      <c r="E11" s="64"/>
      <c r="F11" s="64"/>
      <c r="G11" s="65"/>
      <c r="H11" s="66"/>
      <c r="I11" s="64"/>
      <c r="J11" s="64"/>
      <c r="K11" s="62">
        <v>228825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60680</v>
      </c>
      <c r="D12" s="63"/>
      <c r="E12" s="64"/>
      <c r="F12" s="64"/>
      <c r="G12" s="65"/>
      <c r="H12" s="66"/>
      <c r="I12" s="64"/>
      <c r="J12" s="64"/>
      <c r="K12" s="62">
        <v>61413</v>
      </c>
      <c r="L12" s="63"/>
      <c r="M12" s="57">
        <f>IF(OR(K12=0,C12=0),"-",IF((K12-C12)&lt;0,"Erreur",(K12-C12)))</f>
        <v>733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38947196</v>
      </c>
      <c r="D13" s="85"/>
      <c r="E13" s="84">
        <v>38950081</v>
      </c>
      <c r="F13" s="85"/>
      <c r="G13" s="84">
        <v>3895840</v>
      </c>
      <c r="H13" s="85"/>
      <c r="I13" s="84">
        <v>38956446</v>
      </c>
      <c r="J13" s="85"/>
      <c r="K13" s="84">
        <v>38957364</v>
      </c>
      <c r="L13" s="85"/>
      <c r="M13" s="57">
        <f>IF(OR(K13=0,C13=0),"-",IF((K13-C13)&lt;0,"Erreur",(K13-C13)))</f>
        <v>10168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>
        <v>118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>
        <v>14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1258</v>
      </c>
      <c r="B17" s="94"/>
      <c r="C17" s="93">
        <f>IF(OR(I10=0,G10=0),"-",IF((I10-G10)&lt;0,"Erreur",(I10-G10)))</f>
        <v>441</v>
      </c>
      <c r="D17" s="94"/>
      <c r="E17" s="95">
        <f>IF(OR(I10=0,K10=0,C10=0,E10=0),"-",IF(((K10-I10)+(E10-C10))&lt;0,"Erreur",((K10-I10)+(E10-C10))))</f>
        <v>928</v>
      </c>
      <c r="F17" s="96"/>
      <c r="G17" s="97">
        <f>SUM(A17:F17)</f>
        <v>2627</v>
      </c>
      <c r="H17" s="98"/>
      <c r="I17" s="3"/>
      <c r="J17" s="99" t="s">
        <v>44</v>
      </c>
      <c r="K17" s="100"/>
      <c r="L17" s="101" t="s">
        <v>126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118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22h35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38947196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38957364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765869.90000009537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10168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10168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2627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10.167999999999999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2616.8319999999999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10.167999999999999</v>
      </c>
    </row>
    <row r="29" spans="1:23" ht="28.35" customHeight="1" thickTop="1" thickBot="1">
      <c r="B29" s="131" t="s">
        <v>63</v>
      </c>
      <c r="C29" s="132"/>
      <c r="D29" s="133">
        <v>735350963.29999995</v>
      </c>
      <c r="E29" s="133"/>
      <c r="F29" s="133"/>
      <c r="G29" s="133"/>
      <c r="H29" s="133">
        <v>736116833.20000005</v>
      </c>
      <c r="I29" s="133"/>
      <c r="J29" s="133"/>
      <c r="K29" s="133"/>
      <c r="L29" s="134">
        <f>IF(OR(H29=0,D29=0),"-",IF((H29-D29)&lt;0,"Erreur",(H29-D29)))</f>
        <v>765869.90000009537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2331</v>
      </c>
      <c r="E33" s="159"/>
      <c r="F33" s="159"/>
      <c r="G33" s="159"/>
      <c r="H33" s="159">
        <v>2331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2258</v>
      </c>
      <c r="E35" s="159"/>
      <c r="F35" s="159"/>
      <c r="G35" s="159"/>
      <c r="H35" s="159">
        <v>2258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27661.9</v>
      </c>
      <c r="E39" s="167"/>
      <c r="F39" s="167"/>
      <c r="G39" s="168"/>
      <c r="H39" s="166">
        <v>27685.9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27630</v>
      </c>
      <c r="E41" s="159"/>
      <c r="F41" s="159"/>
      <c r="G41" s="159"/>
      <c r="H41" s="159">
        <v>27654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114</v>
      </c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6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119</v>
      </c>
      <c r="B46" s="188"/>
      <c r="C46" s="189" t="s">
        <v>120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1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 t="s">
        <v>121</v>
      </c>
      <c r="B47" s="181"/>
      <c r="C47" s="180" t="s">
        <v>122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4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 t="s">
        <v>123</v>
      </c>
      <c r="B48" s="179"/>
      <c r="C48" s="180" t="s">
        <v>124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4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 t="s">
        <v>123</v>
      </c>
      <c r="B49" s="183"/>
      <c r="C49" s="172" t="s">
        <v>125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4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 t="s">
        <v>25</v>
      </c>
      <c r="B50" s="181"/>
      <c r="C50" s="172" t="s">
        <v>127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/>
      <c r="B51" s="181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/>
      <c r="B52" s="176"/>
      <c r="C52" s="184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189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/>
      <c r="B55" s="176"/>
      <c r="C55" s="17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/>
      <c r="B56" s="181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9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/>
      <c r="B81" s="231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/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/>
      <c r="B82" s="233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170" t="s">
        <v>88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171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90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92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 C45" name="Plage2_2_1_1_1_1"/>
    <protectedRange password="EC6D" sqref="C49:C51" name="Plage2_2_3_1_1_2"/>
    <protectedRange password="EC6D" sqref="C46" name="Plage2_2_2_1_2_1_2_1_1_1_1"/>
    <protectedRange password="EC6D" sqref="C47" name="Plage2_2_1"/>
    <protectedRange password="EC6D" sqref="L48:N48 C48" name="Plage2_4_1_1"/>
  </protectedRanges>
  <mergeCells count="374"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587" priority="18" operator="containsText" text="Erreur">
      <formula>NOT(ISERROR(SEARCH("Erreur",A17)))</formula>
    </cfRule>
    <cfRule type="containsText" dxfId="586" priority="19" operator="containsText" text="Erreur">
      <formula>NOT(ISERROR(SEARCH("Erreur",A17)))</formula>
    </cfRule>
    <cfRule type="containsText" dxfId="585" priority="20" operator="containsText" text="Erreur">
      <formula>NOT(ISERROR(SEARCH("Erreur",A17)))</formula>
    </cfRule>
    <cfRule type="cellIs" dxfId="584" priority="21" operator="lessThan">
      <formula>0</formula>
    </cfRule>
  </conditionalFormatting>
  <conditionalFormatting sqref="R11">
    <cfRule type="containsText" dxfId="583" priority="17" operator="containsText" text="Erreur">
      <formula>NOT(ISERROR(SEARCH("Erreur",R11)))</formula>
    </cfRule>
  </conditionalFormatting>
  <conditionalFormatting sqref="H24:L24">
    <cfRule type="containsText" dxfId="582" priority="16" operator="containsText" text="Erreur">
      <formula>NOT(ISERROR(SEARCH("Erreur",H24)))</formula>
    </cfRule>
  </conditionalFormatting>
  <conditionalFormatting sqref="L29:N30 L32:N36">
    <cfRule type="cellIs" dxfId="581" priority="15" operator="equal">
      <formula>"Erreur"</formula>
    </cfRule>
  </conditionalFormatting>
  <conditionalFormatting sqref="M10 M11:O13">
    <cfRule type="cellIs" dxfId="580" priority="13" operator="equal">
      <formula>"-"</formula>
    </cfRule>
    <cfRule type="cellIs" dxfId="579" priority="14" operator="equal">
      <formula>"Erreur"</formula>
    </cfRule>
  </conditionalFormatting>
  <conditionalFormatting sqref="A17:D17 L25:O25 G17:H17 L29:N30 L32:N36">
    <cfRule type="cellIs" dxfId="578" priority="12" operator="equal">
      <formula>"-"</formula>
    </cfRule>
  </conditionalFormatting>
  <conditionalFormatting sqref="E17:F17">
    <cfRule type="cellIs" dxfId="577" priority="7" operator="equal">
      <formula>"-"</formula>
    </cfRule>
    <cfRule type="containsText" dxfId="576" priority="8" operator="containsText" text="Erreur">
      <formula>NOT(ISERROR(SEARCH("Erreur",E17)))</formula>
    </cfRule>
    <cfRule type="containsText" dxfId="575" priority="9" operator="containsText" text="Erreur">
      <formula>NOT(ISERROR(SEARCH("Erreur",E17)))</formula>
    </cfRule>
    <cfRule type="containsText" dxfId="574" priority="10" operator="containsText" text="Erreur">
      <formula>NOT(ISERROR(SEARCH("Erreur",E17)))</formula>
    </cfRule>
    <cfRule type="cellIs" dxfId="573" priority="11" operator="lessThan">
      <formula>0</formula>
    </cfRule>
  </conditionalFormatting>
  <conditionalFormatting sqref="D24:O24">
    <cfRule type="cellIs" dxfId="572" priority="5" operator="equal">
      <formula>"-"</formula>
    </cfRule>
    <cfRule type="containsText" dxfId="571" priority="6" operator="containsText" text="Erreur">
      <formula>NOT(ISERROR(SEARCH("Erreur",D24)))</formula>
    </cfRule>
  </conditionalFormatting>
  <conditionalFormatting sqref="L39:N42">
    <cfRule type="cellIs" dxfId="570" priority="3" operator="equal">
      <formula>"Erreur"</formula>
    </cfRule>
    <cfRule type="cellIs" dxfId="569" priority="4" operator="equal">
      <formula>"-"</formula>
    </cfRule>
  </conditionalFormatting>
  <conditionalFormatting sqref="D24:G24">
    <cfRule type="cellIs" dxfId="568" priority="1" operator="equal">
      <formula>"-"</formula>
    </cfRule>
    <cfRule type="containsText" dxfId="567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204"/>
  <sheetViews>
    <sheetView topLeftCell="A28" zoomScale="120" zoomScaleNormal="120" workbookViewId="0">
      <selection activeCell="K10" sqref="K10:L13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128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6</v>
      </c>
      <c r="E3" s="38"/>
      <c r="F3" s="38"/>
      <c r="G3" s="37" t="s">
        <v>18</v>
      </c>
      <c r="H3" s="38"/>
      <c r="I3" s="38"/>
      <c r="J3" s="37" t="s">
        <v>5</v>
      </c>
      <c r="K3" s="38"/>
      <c r="L3" s="38"/>
      <c r="M3" s="37" t="s">
        <v>5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27</v>
      </c>
      <c r="E4" s="38"/>
      <c r="F4" s="38"/>
      <c r="G4" s="38" t="s">
        <v>9</v>
      </c>
      <c r="H4" s="38"/>
      <c r="I4" s="38"/>
      <c r="J4" s="38" t="s">
        <v>10</v>
      </c>
      <c r="K4" s="38"/>
      <c r="L4" s="38"/>
      <c r="M4" s="38" t="s">
        <v>8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19</v>
      </c>
      <c r="E5" s="38"/>
      <c r="F5" s="38"/>
      <c r="G5" s="38" t="s">
        <v>14</v>
      </c>
      <c r="H5" s="38"/>
      <c r="I5" s="38"/>
      <c r="J5" s="38" t="s">
        <v>93</v>
      </c>
      <c r="K5" s="38"/>
      <c r="L5" s="38"/>
      <c r="M5" s="38" t="s">
        <v>93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 t="s">
        <v>28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410345</v>
      </c>
      <c r="D10" s="48"/>
      <c r="E10" s="47">
        <v>410982</v>
      </c>
      <c r="F10" s="49"/>
      <c r="G10" s="47">
        <v>412112</v>
      </c>
      <c r="H10" s="48"/>
      <c r="I10" s="47">
        <v>412544</v>
      </c>
      <c r="J10" s="48"/>
      <c r="K10" s="47">
        <v>412706</v>
      </c>
      <c r="L10" s="48"/>
      <c r="M10" s="50">
        <f>IF(OR(K10=0,C10=0),"-",IF((K10-C10)&lt;0,"Erreur",(K10-C10)))</f>
        <v>2361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228825</v>
      </c>
      <c r="D11" s="63"/>
      <c r="E11" s="64"/>
      <c r="F11" s="64"/>
      <c r="G11" s="65"/>
      <c r="H11" s="66"/>
      <c r="I11" s="64"/>
      <c r="J11" s="64"/>
      <c r="K11" s="62">
        <v>228825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61413</v>
      </c>
      <c r="D12" s="63"/>
      <c r="E12" s="64"/>
      <c r="F12" s="64"/>
      <c r="G12" s="65"/>
      <c r="H12" s="66"/>
      <c r="I12" s="64"/>
      <c r="J12" s="64"/>
      <c r="K12" s="62">
        <v>62100</v>
      </c>
      <c r="L12" s="63"/>
      <c r="M12" s="57">
        <f>IF(OR(K12=0,C12=0),"-",IF((K12-C12)&lt;0,"Erreur",(K12-C12)))</f>
        <v>687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38957364</v>
      </c>
      <c r="D13" s="85"/>
      <c r="E13" s="84">
        <v>38960212</v>
      </c>
      <c r="F13" s="85"/>
      <c r="G13" s="84">
        <v>38964755</v>
      </c>
      <c r="H13" s="85"/>
      <c r="I13" s="84">
        <v>38966519</v>
      </c>
      <c r="J13" s="85"/>
      <c r="K13" s="84">
        <v>38967332</v>
      </c>
      <c r="L13" s="85"/>
      <c r="M13" s="57">
        <f>IF(OR(K13=0,C13=0),"-",IF((K13-C13)&lt;0,"Erreur",(K13-C13)))</f>
        <v>9968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129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131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1130</v>
      </c>
      <c r="B17" s="94"/>
      <c r="C17" s="93">
        <f>IF(OR(I10=0,G10=0),"-",IF((I10-G10)&lt;0,"Erreur",(I10-G10)))</f>
        <v>432</v>
      </c>
      <c r="D17" s="94"/>
      <c r="E17" s="95">
        <f>IF(OR(I10=0,K10=0,C10=0,E10=0),"-",IF(((K10-I10)+(E10-C10))&lt;0,"Erreur",((K10-I10)+(E10-C10))))</f>
        <v>799</v>
      </c>
      <c r="F17" s="96"/>
      <c r="G17" s="97">
        <f>SUM(A17:F17)</f>
        <v>2361</v>
      </c>
      <c r="H17" s="98"/>
      <c r="I17" s="3"/>
      <c r="J17" s="99" t="s">
        <v>44</v>
      </c>
      <c r="K17" s="100"/>
      <c r="L17" s="101" t="s">
        <v>130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120MW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22h34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38957364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38967332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708984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9968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9968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2361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9.968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2351.0320000000002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9.968</v>
      </c>
    </row>
    <row r="29" spans="1:23" ht="28.35" customHeight="1" thickTop="1" thickBot="1">
      <c r="B29" s="131" t="s">
        <v>63</v>
      </c>
      <c r="C29" s="132"/>
      <c r="D29" s="133">
        <v>736116833.20000005</v>
      </c>
      <c r="E29" s="133"/>
      <c r="F29" s="133"/>
      <c r="G29" s="133"/>
      <c r="H29" s="133">
        <v>736825817.20000005</v>
      </c>
      <c r="I29" s="133"/>
      <c r="J29" s="133"/>
      <c r="K29" s="133"/>
      <c r="L29" s="134">
        <f>IF(OR(H29=0,D29=0),"-",IF((H29-D29)&lt;0,"Erreur",(H29-D29)))</f>
        <v>708984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2331</v>
      </c>
      <c r="E33" s="159"/>
      <c r="F33" s="159"/>
      <c r="G33" s="159"/>
      <c r="H33" s="159">
        <v>2331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2258</v>
      </c>
      <c r="E35" s="159"/>
      <c r="F35" s="159"/>
      <c r="G35" s="159"/>
      <c r="H35" s="159">
        <v>2258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27685.9</v>
      </c>
      <c r="E39" s="167"/>
      <c r="F39" s="167"/>
      <c r="G39" s="168"/>
      <c r="H39" s="166">
        <v>27709.9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27654</v>
      </c>
      <c r="E41" s="159"/>
      <c r="F41" s="159"/>
      <c r="G41" s="159"/>
      <c r="H41" s="159">
        <v>27678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127</v>
      </c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6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25</v>
      </c>
      <c r="B46" s="188"/>
      <c r="C46" s="189" t="s">
        <v>133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1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/>
      <c r="B47" s="181"/>
      <c r="C47" s="180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4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/>
      <c r="B48" s="179"/>
      <c r="C48" s="180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4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/>
      <c r="B49" s="183"/>
      <c r="C49" s="17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4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/>
      <c r="B50" s="181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/>
      <c r="B51" s="181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/>
      <c r="B52" s="176"/>
      <c r="C52" s="184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189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/>
      <c r="B55" s="176"/>
      <c r="C55" s="17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/>
      <c r="B56" s="181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9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/>
      <c r="B81" s="231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/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/>
      <c r="B82" s="233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170" t="s">
        <v>88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171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90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92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 C45" name="Plage2_2_1_1_1_1"/>
    <protectedRange password="EC6D" sqref="C49:C51" name="Plage2_2_3_1_1_2"/>
    <protectedRange password="EC6D" sqref="C46" name="Plage2_2_2_1_2_1_2_1_1_1_1"/>
    <protectedRange password="EC6D" sqref="C47" name="Plage2_2_1"/>
    <protectedRange password="EC6D" sqref="L48:N48 C48" name="Plage2_4_1_1"/>
  </protectedRanges>
  <mergeCells count="374"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566" priority="18" operator="containsText" text="Erreur">
      <formula>NOT(ISERROR(SEARCH("Erreur",A17)))</formula>
    </cfRule>
    <cfRule type="containsText" dxfId="565" priority="19" operator="containsText" text="Erreur">
      <formula>NOT(ISERROR(SEARCH("Erreur",A17)))</formula>
    </cfRule>
    <cfRule type="containsText" dxfId="564" priority="20" operator="containsText" text="Erreur">
      <formula>NOT(ISERROR(SEARCH("Erreur",A17)))</formula>
    </cfRule>
    <cfRule type="cellIs" dxfId="563" priority="21" operator="lessThan">
      <formula>0</formula>
    </cfRule>
  </conditionalFormatting>
  <conditionalFormatting sqref="R11">
    <cfRule type="containsText" dxfId="562" priority="17" operator="containsText" text="Erreur">
      <formula>NOT(ISERROR(SEARCH("Erreur",R11)))</formula>
    </cfRule>
  </conditionalFormatting>
  <conditionalFormatting sqref="H24:L24">
    <cfRule type="containsText" dxfId="561" priority="16" operator="containsText" text="Erreur">
      <formula>NOT(ISERROR(SEARCH("Erreur",H24)))</formula>
    </cfRule>
  </conditionalFormatting>
  <conditionalFormatting sqref="L29:N30 L32:N36">
    <cfRule type="cellIs" dxfId="560" priority="15" operator="equal">
      <formula>"Erreur"</formula>
    </cfRule>
  </conditionalFormatting>
  <conditionalFormatting sqref="M10 M11:O13">
    <cfRule type="cellIs" dxfId="559" priority="13" operator="equal">
      <formula>"-"</formula>
    </cfRule>
    <cfRule type="cellIs" dxfId="558" priority="14" operator="equal">
      <formula>"Erreur"</formula>
    </cfRule>
  </conditionalFormatting>
  <conditionalFormatting sqref="A17:D17 L25:O25 G17:H17 L29:N30 L32:N36">
    <cfRule type="cellIs" dxfId="557" priority="12" operator="equal">
      <formula>"-"</formula>
    </cfRule>
  </conditionalFormatting>
  <conditionalFormatting sqref="E17:F17">
    <cfRule type="cellIs" dxfId="556" priority="7" operator="equal">
      <formula>"-"</formula>
    </cfRule>
    <cfRule type="containsText" dxfId="555" priority="8" operator="containsText" text="Erreur">
      <formula>NOT(ISERROR(SEARCH("Erreur",E17)))</formula>
    </cfRule>
    <cfRule type="containsText" dxfId="554" priority="9" operator="containsText" text="Erreur">
      <formula>NOT(ISERROR(SEARCH("Erreur",E17)))</formula>
    </cfRule>
    <cfRule type="containsText" dxfId="553" priority="10" operator="containsText" text="Erreur">
      <formula>NOT(ISERROR(SEARCH("Erreur",E17)))</formula>
    </cfRule>
    <cfRule type="cellIs" dxfId="552" priority="11" operator="lessThan">
      <formula>0</formula>
    </cfRule>
  </conditionalFormatting>
  <conditionalFormatting sqref="D24:O24">
    <cfRule type="cellIs" dxfId="551" priority="5" operator="equal">
      <formula>"-"</formula>
    </cfRule>
    <cfRule type="containsText" dxfId="550" priority="6" operator="containsText" text="Erreur">
      <formula>NOT(ISERROR(SEARCH("Erreur",D24)))</formula>
    </cfRule>
  </conditionalFormatting>
  <conditionalFormatting sqref="L39:N42">
    <cfRule type="cellIs" dxfId="549" priority="3" operator="equal">
      <formula>"Erreur"</formula>
    </cfRule>
    <cfRule type="cellIs" dxfId="548" priority="4" operator="equal">
      <formula>"-"</formula>
    </cfRule>
  </conditionalFormatting>
  <conditionalFormatting sqref="D24:G24">
    <cfRule type="cellIs" dxfId="547" priority="1" operator="equal">
      <formula>"-"</formula>
    </cfRule>
    <cfRule type="containsText" dxfId="546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04"/>
  <sheetViews>
    <sheetView topLeftCell="A31" zoomScale="120" zoomScaleNormal="120" workbookViewId="0">
      <selection activeCell="C46" sqref="C46:O46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136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5</v>
      </c>
      <c r="E3" s="38"/>
      <c r="F3" s="38"/>
      <c r="G3" s="37" t="s">
        <v>18</v>
      </c>
      <c r="H3" s="38"/>
      <c r="I3" s="38"/>
      <c r="J3" s="37" t="s">
        <v>18</v>
      </c>
      <c r="K3" s="38"/>
      <c r="L3" s="38"/>
      <c r="M3" s="37" t="s">
        <v>5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8</v>
      </c>
      <c r="E4" s="38"/>
      <c r="F4" s="38"/>
      <c r="G4" s="38" t="s">
        <v>10</v>
      </c>
      <c r="H4" s="38"/>
      <c r="I4" s="38"/>
      <c r="J4" s="38" t="s">
        <v>9</v>
      </c>
      <c r="K4" s="38"/>
      <c r="L4" s="38"/>
      <c r="M4" s="38" t="s">
        <v>9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93</v>
      </c>
      <c r="E5" s="38"/>
      <c r="F5" s="38"/>
      <c r="G5" s="38" t="s">
        <v>19</v>
      </c>
      <c r="H5" s="38"/>
      <c r="I5" s="38"/>
      <c r="J5" s="38" t="s">
        <v>13</v>
      </c>
      <c r="K5" s="38"/>
      <c r="L5" s="38"/>
      <c r="M5" s="38" t="s">
        <v>93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412706</v>
      </c>
      <c r="D10" s="48"/>
      <c r="E10" s="47">
        <v>413185</v>
      </c>
      <c r="F10" s="49"/>
      <c r="G10" s="47">
        <v>413985</v>
      </c>
      <c r="H10" s="48"/>
      <c r="I10" s="47">
        <v>414443</v>
      </c>
      <c r="J10" s="48"/>
      <c r="K10" s="47">
        <v>414593</v>
      </c>
      <c r="L10" s="48"/>
      <c r="M10" s="50">
        <f>IF(OR(K10=0,C10=0),"-",IF((K10-C10)&lt;0,"Erreur",(K10-C10)))</f>
        <v>1887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228825</v>
      </c>
      <c r="D11" s="63"/>
      <c r="E11" s="64"/>
      <c r="F11" s="64"/>
      <c r="G11" s="65"/>
      <c r="H11" s="66"/>
      <c r="I11" s="64"/>
      <c r="J11" s="64"/>
      <c r="K11" s="62">
        <v>228845</v>
      </c>
      <c r="L11" s="63"/>
      <c r="M11" s="57">
        <f>IF(OR(K11=0,C11=0),"-",IF((K11-C11)&lt;0,"Erreur",(K11-C11)))</f>
        <v>20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62100</v>
      </c>
      <c r="D12" s="63"/>
      <c r="E12" s="64"/>
      <c r="F12" s="64"/>
      <c r="G12" s="65"/>
      <c r="H12" s="66"/>
      <c r="I12" s="64"/>
      <c r="J12" s="64"/>
      <c r="K12" s="62">
        <v>62803</v>
      </c>
      <c r="L12" s="63"/>
      <c r="M12" s="57">
        <f>IF(OR(K12=0,C12=0),"-",IF((K12-C12)&lt;0,"Erreur",(K12-C12)))</f>
        <v>703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38967332</v>
      </c>
      <c r="D13" s="85"/>
      <c r="E13" s="84">
        <v>38970202</v>
      </c>
      <c r="F13" s="85"/>
      <c r="G13" s="84">
        <v>38974482</v>
      </c>
      <c r="H13" s="85"/>
      <c r="I13" s="84">
        <v>38976137</v>
      </c>
      <c r="J13" s="85"/>
      <c r="K13" s="84">
        <v>38976925</v>
      </c>
      <c r="L13" s="85"/>
      <c r="M13" s="57">
        <f>IF(OR(K13=0,C13=0),"-",IF((K13-C13)&lt;0,"Erreur",(K13-C13)))</f>
        <v>9593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140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118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800</v>
      </c>
      <c r="B17" s="94"/>
      <c r="C17" s="93">
        <f>IF(OR(I10=0,G10=0),"-",IF((I10-G10)&lt;0,"Erreur",(I10-G10)))</f>
        <v>458</v>
      </c>
      <c r="D17" s="94"/>
      <c r="E17" s="95">
        <f>IF(OR(I10=0,K10=0,C10=0,E10=0),"-",IF(((K10-I10)+(E10-C10))&lt;0,"Erreur",((K10-I10)+(E10-C10))))</f>
        <v>629</v>
      </c>
      <c r="F17" s="96"/>
      <c r="G17" s="97">
        <f>SUM(A17:F17)</f>
        <v>1887</v>
      </c>
      <c r="H17" s="98"/>
      <c r="I17" s="3"/>
      <c r="J17" s="99" t="s">
        <v>44</v>
      </c>
      <c r="K17" s="100"/>
      <c r="L17" s="101" t="s">
        <v>141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121MW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4H46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38967332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38976925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595853.89999997616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9593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9593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1887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9.593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1877.4069999999999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9.593</v>
      </c>
    </row>
    <row r="29" spans="1:23" ht="28.35" customHeight="1" thickTop="1" thickBot="1">
      <c r="B29" s="131" t="s">
        <v>63</v>
      </c>
      <c r="C29" s="132"/>
      <c r="D29" s="133">
        <v>736825817.20000005</v>
      </c>
      <c r="E29" s="133"/>
      <c r="F29" s="133"/>
      <c r="G29" s="133"/>
      <c r="H29" s="133">
        <v>737421671.10000002</v>
      </c>
      <c r="I29" s="133"/>
      <c r="J29" s="133"/>
      <c r="K29" s="133"/>
      <c r="L29" s="134">
        <f>IF(OR(H29=0,D29=0),"-",IF((H29-D29)&lt;0,"Erreur",(H29-D29)))</f>
        <v>595853.89999997616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2331</v>
      </c>
      <c r="E33" s="159"/>
      <c r="F33" s="159"/>
      <c r="G33" s="159"/>
      <c r="H33" s="159">
        <v>2331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2258</v>
      </c>
      <c r="E35" s="159"/>
      <c r="F35" s="159"/>
      <c r="G35" s="159"/>
      <c r="H35" s="159">
        <v>2258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27709.9</v>
      </c>
      <c r="E39" s="167"/>
      <c r="F39" s="167"/>
      <c r="G39" s="168"/>
      <c r="H39" s="166">
        <v>27733.9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27678</v>
      </c>
      <c r="E41" s="159"/>
      <c r="F41" s="159"/>
      <c r="G41" s="159"/>
      <c r="H41" s="159">
        <v>27702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132</v>
      </c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6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134</v>
      </c>
      <c r="B46" s="188"/>
      <c r="C46" s="189" t="s">
        <v>135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1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 t="s">
        <v>137</v>
      </c>
      <c r="B47" s="181"/>
      <c r="C47" s="180" t="s">
        <v>138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4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 t="s">
        <v>142</v>
      </c>
      <c r="B48" s="179"/>
      <c r="C48" s="184" t="s">
        <v>143</v>
      </c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6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/>
      <c r="B49" s="183"/>
      <c r="C49" s="17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4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/>
      <c r="B50" s="181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/>
      <c r="B51" s="181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/>
      <c r="B52" s="176"/>
      <c r="C52" s="184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189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/>
      <c r="B55" s="176"/>
      <c r="C55" s="17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/>
      <c r="B56" s="181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9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/>
      <c r="B81" s="231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/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/>
      <c r="B82" s="233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170" t="s">
        <v>88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171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90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 C45 C48" name="Plage2_2_1_1_1_1"/>
    <protectedRange password="EC6D" sqref="C49:C51" name="Plage2_2_3_1_1_2"/>
    <protectedRange password="EC6D" sqref="C46" name="Plage2_2_2_1_2_1_2_1_1_1_1"/>
    <protectedRange password="EC6D" sqref="C47" name="Plage2_2_1"/>
  </protectedRanges>
  <mergeCells count="374"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</mergeCells>
  <conditionalFormatting sqref="A17 C17 E17:F17">
    <cfRule type="containsText" dxfId="545" priority="18" operator="containsText" text="Erreur">
      <formula>NOT(ISERROR(SEARCH("Erreur",A17)))</formula>
    </cfRule>
    <cfRule type="containsText" dxfId="544" priority="19" operator="containsText" text="Erreur">
      <formula>NOT(ISERROR(SEARCH("Erreur",A17)))</formula>
    </cfRule>
    <cfRule type="containsText" dxfId="543" priority="20" operator="containsText" text="Erreur">
      <formula>NOT(ISERROR(SEARCH("Erreur",A17)))</formula>
    </cfRule>
    <cfRule type="cellIs" dxfId="542" priority="21" operator="lessThan">
      <formula>0</formula>
    </cfRule>
  </conditionalFormatting>
  <conditionalFormatting sqref="R11">
    <cfRule type="containsText" dxfId="541" priority="17" operator="containsText" text="Erreur">
      <formula>NOT(ISERROR(SEARCH("Erreur",R11)))</formula>
    </cfRule>
  </conditionalFormatting>
  <conditionalFormatting sqref="H24:L24">
    <cfRule type="containsText" dxfId="540" priority="16" operator="containsText" text="Erreur">
      <formula>NOT(ISERROR(SEARCH("Erreur",H24)))</formula>
    </cfRule>
  </conditionalFormatting>
  <conditionalFormatting sqref="L29:N30 L32:N36">
    <cfRule type="cellIs" dxfId="539" priority="15" operator="equal">
      <formula>"Erreur"</formula>
    </cfRule>
  </conditionalFormatting>
  <conditionalFormatting sqref="M10 M11:O13">
    <cfRule type="cellIs" dxfId="538" priority="13" operator="equal">
      <formula>"-"</formula>
    </cfRule>
    <cfRule type="cellIs" dxfId="537" priority="14" operator="equal">
      <formula>"Erreur"</formula>
    </cfRule>
  </conditionalFormatting>
  <conditionalFormatting sqref="A17:D17 L25:O25 G17:H17 L29:N30 L32:N36">
    <cfRule type="cellIs" dxfId="536" priority="12" operator="equal">
      <formula>"-"</formula>
    </cfRule>
  </conditionalFormatting>
  <conditionalFormatting sqref="E17:F17">
    <cfRule type="cellIs" dxfId="535" priority="7" operator="equal">
      <formula>"-"</formula>
    </cfRule>
    <cfRule type="containsText" dxfId="534" priority="8" operator="containsText" text="Erreur">
      <formula>NOT(ISERROR(SEARCH("Erreur",E17)))</formula>
    </cfRule>
    <cfRule type="containsText" dxfId="533" priority="9" operator="containsText" text="Erreur">
      <formula>NOT(ISERROR(SEARCH("Erreur",E17)))</formula>
    </cfRule>
    <cfRule type="containsText" dxfId="532" priority="10" operator="containsText" text="Erreur">
      <formula>NOT(ISERROR(SEARCH("Erreur",E17)))</formula>
    </cfRule>
    <cfRule type="cellIs" dxfId="531" priority="11" operator="lessThan">
      <formula>0</formula>
    </cfRule>
  </conditionalFormatting>
  <conditionalFormatting sqref="D24:O24">
    <cfRule type="cellIs" dxfId="530" priority="5" operator="equal">
      <formula>"-"</formula>
    </cfRule>
    <cfRule type="containsText" dxfId="529" priority="6" operator="containsText" text="Erreur">
      <formula>NOT(ISERROR(SEARCH("Erreur",D24)))</formula>
    </cfRule>
  </conditionalFormatting>
  <conditionalFormatting sqref="L39:N42">
    <cfRule type="cellIs" dxfId="528" priority="3" operator="equal">
      <formula>"Erreur"</formula>
    </cfRule>
    <cfRule type="cellIs" dxfId="527" priority="4" operator="equal">
      <formula>"-"</formula>
    </cfRule>
  </conditionalFormatting>
  <conditionalFormatting sqref="D24:G24">
    <cfRule type="cellIs" dxfId="526" priority="1" operator="equal">
      <formula>"-"</formula>
    </cfRule>
    <cfRule type="containsText" dxfId="525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204"/>
  <sheetViews>
    <sheetView topLeftCell="A40" zoomScale="120" zoomScaleNormal="120" workbookViewId="0">
      <selection activeCell="A97" sqref="A97:O97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139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5</v>
      </c>
      <c r="E3" s="38"/>
      <c r="F3" s="38"/>
      <c r="G3" s="37" t="s">
        <v>6</v>
      </c>
      <c r="H3" s="38"/>
      <c r="I3" s="38"/>
      <c r="J3" s="37" t="s">
        <v>18</v>
      </c>
      <c r="K3" s="38"/>
      <c r="L3" s="38"/>
      <c r="M3" s="37" t="s">
        <v>18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9</v>
      </c>
      <c r="E4" s="38"/>
      <c r="F4" s="38"/>
      <c r="G4" s="38" t="s">
        <v>10</v>
      </c>
      <c r="H4" s="38"/>
      <c r="I4" s="38"/>
      <c r="J4" s="38" t="s">
        <v>27</v>
      </c>
      <c r="K4" s="38"/>
      <c r="L4" s="38"/>
      <c r="M4" s="38" t="s">
        <v>9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93</v>
      </c>
      <c r="E5" s="38"/>
      <c r="F5" s="38"/>
      <c r="G5" s="38" t="s">
        <v>13</v>
      </c>
      <c r="H5" s="38"/>
      <c r="I5" s="38"/>
      <c r="J5" s="38" t="s">
        <v>19</v>
      </c>
      <c r="K5" s="38"/>
      <c r="L5" s="38"/>
      <c r="M5" s="38" t="s">
        <v>14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414593</v>
      </c>
      <c r="D10" s="48"/>
      <c r="E10" s="47">
        <v>415132</v>
      </c>
      <c r="F10" s="49"/>
      <c r="G10" s="47">
        <v>416100</v>
      </c>
      <c r="H10" s="48"/>
      <c r="I10" s="47">
        <v>416569</v>
      </c>
      <c r="J10" s="48"/>
      <c r="K10" s="47">
        <v>416705</v>
      </c>
      <c r="L10" s="48"/>
      <c r="M10" s="50">
        <f>IF(OR(K10=0,C10=0),"-",IF((K10-C10)&lt;0,"Erreur",(K10-C10)))</f>
        <v>2112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228845</v>
      </c>
      <c r="D11" s="63"/>
      <c r="E11" s="64"/>
      <c r="F11" s="64"/>
      <c r="G11" s="65"/>
      <c r="H11" s="66"/>
      <c r="I11" s="64"/>
      <c r="J11" s="64"/>
      <c r="K11" s="62">
        <v>228845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62803</v>
      </c>
      <c r="D12" s="63"/>
      <c r="E12" s="64"/>
      <c r="F12" s="64"/>
      <c r="G12" s="65"/>
      <c r="H12" s="66"/>
      <c r="I12" s="64"/>
      <c r="J12" s="64"/>
      <c r="K12" s="62">
        <v>63622</v>
      </c>
      <c r="L12" s="63"/>
      <c r="M12" s="57">
        <f>IF(OR(K12=0,C12=0),"-",IF((K12-C12)&lt;0,"Erreur",(K12-C12)))</f>
        <v>819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38976925</v>
      </c>
      <c r="D13" s="85"/>
      <c r="E13" s="84">
        <v>38979595</v>
      </c>
      <c r="F13" s="85"/>
      <c r="G13" s="84">
        <v>38984234</v>
      </c>
      <c r="H13" s="85"/>
      <c r="I13" s="84">
        <v>2288459</v>
      </c>
      <c r="J13" s="85"/>
      <c r="K13" s="84">
        <v>38986959</v>
      </c>
      <c r="L13" s="85"/>
      <c r="M13" s="57">
        <f>IF(OR(K13=0,C13=0),"-",IF((K13-C13)&lt;0,"Erreur",(K13-C13)))</f>
        <v>10034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140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151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968</v>
      </c>
      <c r="B17" s="94"/>
      <c r="C17" s="93">
        <f>IF(OR(I10=0,G10=0),"-",IF((I10-G10)&lt;0,"Erreur",(I10-G10)))</f>
        <v>469</v>
      </c>
      <c r="D17" s="94"/>
      <c r="E17" s="95">
        <f>IF(OR(I10=0,K10=0,C10=0,E10=0),"-",IF(((K10-I10)+(E10-C10))&lt;0,"Erreur",((K10-I10)+(E10-C10))))</f>
        <v>675</v>
      </c>
      <c r="F17" s="96"/>
      <c r="G17" s="97">
        <f>SUM(A17:F17)</f>
        <v>2112</v>
      </c>
      <c r="H17" s="98"/>
      <c r="I17" s="3"/>
      <c r="J17" s="99" t="s">
        <v>44</v>
      </c>
      <c r="K17" s="100"/>
      <c r="L17" s="101" t="s">
        <v>152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121MW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07H05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38976925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38986959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648721.79999995232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10034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10034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2112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10.034000000000001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2101.9659999999999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10.034000000000001</v>
      </c>
    </row>
    <row r="29" spans="1:23" ht="28.35" customHeight="1" thickTop="1" thickBot="1">
      <c r="B29" s="131" t="s">
        <v>63</v>
      </c>
      <c r="C29" s="132"/>
      <c r="D29" s="133">
        <v>737421671.10000002</v>
      </c>
      <c r="E29" s="133"/>
      <c r="F29" s="133"/>
      <c r="G29" s="133"/>
      <c r="H29" s="133">
        <v>738070392.89999998</v>
      </c>
      <c r="I29" s="133"/>
      <c r="J29" s="133"/>
      <c r="K29" s="133"/>
      <c r="L29" s="134">
        <f>IF(OR(H29=0,D29=0),"-",IF((H29-D29)&lt;0,"Erreur",(H29-D29)))</f>
        <v>648721.79999995232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2331</v>
      </c>
      <c r="E33" s="159"/>
      <c r="F33" s="159"/>
      <c r="G33" s="159"/>
      <c r="H33" s="159">
        <v>2331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2258</v>
      </c>
      <c r="E35" s="159"/>
      <c r="F35" s="159"/>
      <c r="G35" s="159"/>
      <c r="H35" s="159">
        <v>2258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27733.9</v>
      </c>
      <c r="E39" s="167"/>
      <c r="F39" s="167"/>
      <c r="G39" s="168"/>
      <c r="H39" s="166">
        <v>27757.9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27702</v>
      </c>
      <c r="E41" s="159"/>
      <c r="F41" s="159"/>
      <c r="G41" s="159"/>
      <c r="H41" s="159">
        <v>27726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143</v>
      </c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6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147</v>
      </c>
      <c r="B46" s="188"/>
      <c r="C46" s="189" t="s">
        <v>148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1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 t="s">
        <v>142</v>
      </c>
      <c r="B47" s="181"/>
      <c r="C47" s="184" t="s">
        <v>153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6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/>
      <c r="B48" s="179"/>
      <c r="C48" s="180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4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/>
      <c r="B49" s="183"/>
      <c r="C49" s="17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4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/>
      <c r="B50" s="181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/>
      <c r="B51" s="181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/>
      <c r="B52" s="176"/>
      <c r="C52" s="184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189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/>
      <c r="B55" s="176"/>
      <c r="C55" s="17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/>
      <c r="B56" s="181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9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>
        <v>266916</v>
      </c>
      <c r="B68" s="219"/>
      <c r="C68" s="220" t="s">
        <v>149</v>
      </c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>
        <v>267002</v>
      </c>
      <c r="B69" s="212"/>
      <c r="C69" s="213" t="s">
        <v>150</v>
      </c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 t="s">
        <v>144</v>
      </c>
      <c r="B81" s="231"/>
      <c r="C81" s="232" t="s">
        <v>145</v>
      </c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 t="s">
        <v>146</v>
      </c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/>
      <c r="B82" s="233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170" t="s">
        <v>88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171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90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" name="Plage2_2_1_1_1_1"/>
    <protectedRange password="EC6D" sqref="C49:C51" name="Plage2_2_3_1_1_2"/>
    <protectedRange password="EC6D" sqref="C46" name="Plage2_2_2_1_2_1_2_1_1_1_1"/>
    <protectedRange password="EC6D" sqref="L48:N48 C48" name="Plage2_4_1_1"/>
    <protectedRange password="EC6D" sqref="C45 C47" name="Plage2_2_1_1_1_1_1"/>
  </protectedRanges>
  <mergeCells count="374"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</mergeCells>
  <conditionalFormatting sqref="A17 C17 E17:F17">
    <cfRule type="containsText" dxfId="524" priority="18" operator="containsText" text="Erreur">
      <formula>NOT(ISERROR(SEARCH("Erreur",A17)))</formula>
    </cfRule>
    <cfRule type="containsText" dxfId="523" priority="19" operator="containsText" text="Erreur">
      <formula>NOT(ISERROR(SEARCH("Erreur",A17)))</formula>
    </cfRule>
    <cfRule type="containsText" dxfId="522" priority="20" operator="containsText" text="Erreur">
      <formula>NOT(ISERROR(SEARCH("Erreur",A17)))</formula>
    </cfRule>
    <cfRule type="cellIs" dxfId="521" priority="21" operator="lessThan">
      <formula>0</formula>
    </cfRule>
  </conditionalFormatting>
  <conditionalFormatting sqref="R11">
    <cfRule type="containsText" dxfId="520" priority="17" operator="containsText" text="Erreur">
      <formula>NOT(ISERROR(SEARCH("Erreur",R11)))</formula>
    </cfRule>
  </conditionalFormatting>
  <conditionalFormatting sqref="H24:L24">
    <cfRule type="containsText" dxfId="519" priority="16" operator="containsText" text="Erreur">
      <formula>NOT(ISERROR(SEARCH("Erreur",H24)))</formula>
    </cfRule>
  </conditionalFormatting>
  <conditionalFormatting sqref="L29:N30 L32:N36">
    <cfRule type="cellIs" dxfId="518" priority="15" operator="equal">
      <formula>"Erreur"</formula>
    </cfRule>
  </conditionalFormatting>
  <conditionalFormatting sqref="M10 M11:O13">
    <cfRule type="cellIs" dxfId="517" priority="13" operator="equal">
      <formula>"-"</formula>
    </cfRule>
    <cfRule type="cellIs" dxfId="516" priority="14" operator="equal">
      <formula>"Erreur"</formula>
    </cfRule>
  </conditionalFormatting>
  <conditionalFormatting sqref="A17:D17 L25:O25 G17:H17 L29:N30 L32:N36">
    <cfRule type="cellIs" dxfId="515" priority="12" operator="equal">
      <formula>"-"</formula>
    </cfRule>
  </conditionalFormatting>
  <conditionalFormatting sqref="E17:F17">
    <cfRule type="cellIs" dxfId="514" priority="7" operator="equal">
      <formula>"-"</formula>
    </cfRule>
    <cfRule type="containsText" dxfId="513" priority="8" operator="containsText" text="Erreur">
      <formula>NOT(ISERROR(SEARCH("Erreur",E17)))</formula>
    </cfRule>
    <cfRule type="containsText" dxfId="512" priority="9" operator="containsText" text="Erreur">
      <formula>NOT(ISERROR(SEARCH("Erreur",E17)))</formula>
    </cfRule>
    <cfRule type="containsText" dxfId="511" priority="10" operator="containsText" text="Erreur">
      <formula>NOT(ISERROR(SEARCH("Erreur",E17)))</formula>
    </cfRule>
    <cfRule type="cellIs" dxfId="510" priority="11" operator="lessThan">
      <formula>0</formula>
    </cfRule>
  </conditionalFormatting>
  <conditionalFormatting sqref="D24:O24">
    <cfRule type="cellIs" dxfId="509" priority="5" operator="equal">
      <formula>"-"</formula>
    </cfRule>
    <cfRule type="containsText" dxfId="508" priority="6" operator="containsText" text="Erreur">
      <formula>NOT(ISERROR(SEARCH("Erreur",D24)))</formula>
    </cfRule>
  </conditionalFormatting>
  <conditionalFormatting sqref="L39:N42">
    <cfRule type="cellIs" dxfId="507" priority="3" operator="equal">
      <formula>"Erreur"</formula>
    </cfRule>
    <cfRule type="cellIs" dxfId="506" priority="4" operator="equal">
      <formula>"-"</formula>
    </cfRule>
  </conditionalFormatting>
  <conditionalFormatting sqref="D24:G24">
    <cfRule type="cellIs" dxfId="505" priority="1" operator="equal">
      <formula>"-"</formula>
    </cfRule>
    <cfRule type="containsText" dxfId="504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204"/>
  <sheetViews>
    <sheetView topLeftCell="A37" zoomScale="120" zoomScaleNormal="120" workbookViewId="0">
      <selection activeCell="A97" sqref="A97:O97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156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18</v>
      </c>
      <c r="E3" s="38"/>
      <c r="F3" s="38"/>
      <c r="G3" s="37" t="s">
        <v>6</v>
      </c>
      <c r="H3" s="38"/>
      <c r="I3" s="38"/>
      <c r="J3" s="37" t="s">
        <v>6</v>
      </c>
      <c r="K3" s="38"/>
      <c r="L3" s="38"/>
      <c r="M3" s="37" t="s">
        <v>18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9</v>
      </c>
      <c r="E4" s="38"/>
      <c r="F4" s="38"/>
      <c r="G4" s="38" t="s">
        <v>27</v>
      </c>
      <c r="H4" s="38"/>
      <c r="I4" s="38"/>
      <c r="J4" s="38" t="s">
        <v>27</v>
      </c>
      <c r="K4" s="38"/>
      <c r="L4" s="38"/>
      <c r="M4" s="38" t="s">
        <v>9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14</v>
      </c>
      <c r="E5" s="38"/>
      <c r="F5" s="38"/>
      <c r="G5" s="38" t="s">
        <v>13</v>
      </c>
      <c r="H5" s="38"/>
      <c r="I5" s="38"/>
      <c r="J5" s="38" t="s">
        <v>19</v>
      </c>
      <c r="K5" s="38"/>
      <c r="L5" s="38"/>
      <c r="M5" s="38" t="s">
        <v>14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 t="s">
        <v>28</v>
      </c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416705</v>
      </c>
      <c r="D10" s="48"/>
      <c r="E10" s="47">
        <v>417308</v>
      </c>
      <c r="F10" s="49"/>
      <c r="G10" s="47">
        <v>418314</v>
      </c>
      <c r="H10" s="48"/>
      <c r="I10" s="47">
        <v>418718</v>
      </c>
      <c r="J10" s="48"/>
      <c r="K10" s="47">
        <v>418922</v>
      </c>
      <c r="L10" s="48"/>
      <c r="M10" s="50">
        <f>IF(OR(K10=0,C10=0),"-",IF((K10-C10)&lt;0,"Erreur",(K10-C10)))</f>
        <v>2217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228845</v>
      </c>
      <c r="D11" s="63"/>
      <c r="E11" s="64"/>
      <c r="F11" s="64"/>
      <c r="G11" s="65"/>
      <c r="H11" s="66"/>
      <c r="I11" s="64"/>
      <c r="J11" s="64"/>
      <c r="K11" s="62">
        <v>228845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63622</v>
      </c>
      <c r="D12" s="63"/>
      <c r="E12" s="64"/>
      <c r="F12" s="64"/>
      <c r="G12" s="65"/>
      <c r="H12" s="66"/>
      <c r="I12" s="64"/>
      <c r="J12" s="64"/>
      <c r="K12" s="62">
        <v>64303</v>
      </c>
      <c r="L12" s="63"/>
      <c r="M12" s="57">
        <f>IF(OR(K12=0,C12=0),"-",IF((K12-C12)&lt;0,"Erreur",(K12-C12)))</f>
        <v>681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38986959</v>
      </c>
      <c r="D13" s="85"/>
      <c r="E13" s="84">
        <v>38989852</v>
      </c>
      <c r="F13" s="85"/>
      <c r="G13" s="84">
        <v>38994336</v>
      </c>
      <c r="H13" s="85"/>
      <c r="I13" s="84">
        <v>38996006</v>
      </c>
      <c r="J13" s="85"/>
      <c r="K13" s="84">
        <v>38996815</v>
      </c>
      <c r="L13" s="85"/>
      <c r="M13" s="57">
        <f>IF(OR(K13=0,C13=0),"-",IF((K13-C13)&lt;0,"Erreur",(K13-C13)))</f>
        <v>9856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129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151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1006</v>
      </c>
      <c r="B17" s="94"/>
      <c r="C17" s="93">
        <f>IF(OR(I10=0,G10=0),"-",IF((I10-G10)&lt;0,"Erreur",(I10-G10)))</f>
        <v>404</v>
      </c>
      <c r="D17" s="94"/>
      <c r="E17" s="95">
        <f>IF(OR(I10=0,K10=0,C10=0,E10=0),"-",IF(((K10-I10)+(E10-C10))&lt;0,"Erreur",((K10-I10)+(E10-C10))))</f>
        <v>807</v>
      </c>
      <c r="F17" s="96"/>
      <c r="G17" s="97">
        <f>SUM(A17:F17)</f>
        <v>2217</v>
      </c>
      <c r="H17" s="98"/>
      <c r="I17" s="3"/>
      <c r="J17" s="99" t="s">
        <v>44</v>
      </c>
      <c r="K17" s="100"/>
      <c r="L17" s="101" t="s">
        <v>155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120MW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03H33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38986959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38996815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674987.20000004768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9856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9856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2217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9.8559999999999999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2207.1439999999998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9.8559999999999999</v>
      </c>
    </row>
    <row r="29" spans="1:23" ht="28.35" customHeight="1" thickTop="1" thickBot="1">
      <c r="B29" s="131" t="s">
        <v>63</v>
      </c>
      <c r="C29" s="132"/>
      <c r="D29" s="133">
        <v>738070392.89999998</v>
      </c>
      <c r="E29" s="133"/>
      <c r="F29" s="133"/>
      <c r="G29" s="133"/>
      <c r="H29" s="133">
        <v>738745380.10000002</v>
      </c>
      <c r="I29" s="133"/>
      <c r="J29" s="133"/>
      <c r="K29" s="133"/>
      <c r="L29" s="134">
        <f>IF(OR(H29=0,D29=0),"-",IF((H29-D29)&lt;0,"Erreur",(H29-D29)))</f>
        <v>674987.20000004768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2331</v>
      </c>
      <c r="E33" s="159"/>
      <c r="F33" s="159"/>
      <c r="G33" s="159"/>
      <c r="H33" s="159">
        <v>2331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2258</v>
      </c>
      <c r="E35" s="159"/>
      <c r="F35" s="159"/>
      <c r="G35" s="159"/>
      <c r="H35" s="159">
        <v>2258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27757.9</v>
      </c>
      <c r="E39" s="167"/>
      <c r="F39" s="167"/>
      <c r="G39" s="168"/>
      <c r="H39" s="166">
        <v>27781.9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27726</v>
      </c>
      <c r="E41" s="159"/>
      <c r="F41" s="159"/>
      <c r="G41" s="159"/>
      <c r="H41" s="159">
        <v>27750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153</v>
      </c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6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/>
      <c r="B46" s="188"/>
      <c r="C46" s="252" t="s">
        <v>154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1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 t="s">
        <v>25</v>
      </c>
      <c r="B47" s="181"/>
      <c r="C47" s="184" t="s">
        <v>158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6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/>
      <c r="B48" s="179"/>
      <c r="C48" s="180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4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/>
      <c r="B49" s="183"/>
      <c r="C49" s="17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4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/>
      <c r="B50" s="181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/>
      <c r="B51" s="181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/>
      <c r="B52" s="176"/>
      <c r="C52" s="184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189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/>
      <c r="B55" s="176"/>
      <c r="C55" s="17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/>
      <c r="B56" s="181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9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 t="s">
        <v>144</v>
      </c>
      <c r="B81" s="231"/>
      <c r="C81" s="232" t="s">
        <v>145</v>
      </c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 t="s">
        <v>146</v>
      </c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/>
      <c r="B82" s="233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170" t="s">
        <v>88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171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90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" name="Plage2_2_1_1_1_1"/>
    <protectedRange password="EC6D" sqref="C49:C51" name="Plage2_2_3_1_1_2"/>
    <protectedRange password="EC6D" sqref="C46" name="Plage2_2_2_1_2_1_2_1_1_1_1"/>
    <protectedRange password="EC6D" sqref="L48:N48 C48" name="Plage2_4_1_1"/>
    <protectedRange password="EC6D" sqref="C45 C47" name="Plage2_2_1_1_1_1_1_1"/>
  </protectedRanges>
  <mergeCells count="374"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</mergeCells>
  <conditionalFormatting sqref="A17 C17 E17:F17">
    <cfRule type="containsText" dxfId="503" priority="18" operator="containsText" text="Erreur">
      <formula>NOT(ISERROR(SEARCH("Erreur",A17)))</formula>
    </cfRule>
    <cfRule type="containsText" dxfId="502" priority="19" operator="containsText" text="Erreur">
      <formula>NOT(ISERROR(SEARCH("Erreur",A17)))</formula>
    </cfRule>
    <cfRule type="containsText" dxfId="501" priority="20" operator="containsText" text="Erreur">
      <formula>NOT(ISERROR(SEARCH("Erreur",A17)))</formula>
    </cfRule>
    <cfRule type="cellIs" dxfId="500" priority="21" operator="lessThan">
      <formula>0</formula>
    </cfRule>
  </conditionalFormatting>
  <conditionalFormatting sqref="R11">
    <cfRule type="containsText" dxfId="499" priority="17" operator="containsText" text="Erreur">
      <formula>NOT(ISERROR(SEARCH("Erreur",R11)))</formula>
    </cfRule>
  </conditionalFormatting>
  <conditionalFormatting sqref="H24:L24">
    <cfRule type="containsText" dxfId="498" priority="16" operator="containsText" text="Erreur">
      <formula>NOT(ISERROR(SEARCH("Erreur",H24)))</formula>
    </cfRule>
  </conditionalFormatting>
  <conditionalFormatting sqref="L29:N30 L32:N36">
    <cfRule type="cellIs" dxfId="497" priority="15" operator="equal">
      <formula>"Erreur"</formula>
    </cfRule>
  </conditionalFormatting>
  <conditionalFormatting sqref="M10 M11:O13">
    <cfRule type="cellIs" dxfId="496" priority="13" operator="equal">
      <formula>"-"</formula>
    </cfRule>
    <cfRule type="cellIs" dxfId="495" priority="14" operator="equal">
      <formula>"Erreur"</formula>
    </cfRule>
  </conditionalFormatting>
  <conditionalFormatting sqref="A17:D17 L25:O25 G17:H17 L29:N30 L32:N36">
    <cfRule type="cellIs" dxfId="494" priority="12" operator="equal">
      <formula>"-"</formula>
    </cfRule>
  </conditionalFormatting>
  <conditionalFormatting sqref="E17:F17">
    <cfRule type="cellIs" dxfId="493" priority="7" operator="equal">
      <formula>"-"</formula>
    </cfRule>
    <cfRule type="containsText" dxfId="492" priority="8" operator="containsText" text="Erreur">
      <formula>NOT(ISERROR(SEARCH("Erreur",E17)))</formula>
    </cfRule>
    <cfRule type="containsText" dxfId="491" priority="9" operator="containsText" text="Erreur">
      <formula>NOT(ISERROR(SEARCH("Erreur",E17)))</formula>
    </cfRule>
    <cfRule type="containsText" dxfId="490" priority="10" operator="containsText" text="Erreur">
      <formula>NOT(ISERROR(SEARCH("Erreur",E17)))</formula>
    </cfRule>
    <cfRule type="cellIs" dxfId="489" priority="11" operator="lessThan">
      <formula>0</formula>
    </cfRule>
  </conditionalFormatting>
  <conditionalFormatting sqref="D24:O24">
    <cfRule type="cellIs" dxfId="488" priority="5" operator="equal">
      <formula>"-"</formula>
    </cfRule>
    <cfRule type="containsText" dxfId="487" priority="6" operator="containsText" text="Erreur">
      <formula>NOT(ISERROR(SEARCH("Erreur",D24)))</formula>
    </cfRule>
  </conditionalFormatting>
  <conditionalFormatting sqref="L39:N42">
    <cfRule type="cellIs" dxfId="486" priority="3" operator="equal">
      <formula>"Erreur"</formula>
    </cfRule>
    <cfRule type="cellIs" dxfId="485" priority="4" operator="equal">
      <formula>"-"</formula>
    </cfRule>
  </conditionalFormatting>
  <conditionalFormatting sqref="D24:G24">
    <cfRule type="cellIs" dxfId="484" priority="1" operator="equal">
      <formula>"-"</formula>
    </cfRule>
    <cfRule type="containsText" dxfId="483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204"/>
  <sheetViews>
    <sheetView topLeftCell="A41" zoomScale="120" zoomScaleNormal="120" workbookViewId="0">
      <selection activeCell="A97" sqref="A97:O97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157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18</v>
      </c>
      <c r="E3" s="38"/>
      <c r="F3" s="38"/>
      <c r="G3" s="37" t="s">
        <v>18</v>
      </c>
      <c r="H3" s="38"/>
      <c r="I3" s="38"/>
      <c r="J3" s="37" t="s">
        <v>5</v>
      </c>
      <c r="K3" s="38"/>
      <c r="L3" s="38"/>
      <c r="M3" s="37" t="s">
        <v>6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9</v>
      </c>
      <c r="E4" s="38"/>
      <c r="F4" s="38"/>
      <c r="G4" s="38" t="s">
        <v>8</v>
      </c>
      <c r="H4" s="38"/>
      <c r="I4" s="38"/>
      <c r="J4" s="38" t="s">
        <v>10</v>
      </c>
      <c r="K4" s="38"/>
      <c r="L4" s="38"/>
      <c r="M4" s="38" t="s">
        <v>10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14</v>
      </c>
      <c r="E5" s="38"/>
      <c r="F5" s="38"/>
      <c r="G5" s="38" t="s">
        <v>19</v>
      </c>
      <c r="H5" s="38"/>
      <c r="I5" s="38"/>
      <c r="J5" s="38" t="s">
        <v>93</v>
      </c>
      <c r="K5" s="38"/>
      <c r="L5" s="38"/>
      <c r="M5" s="38" t="s">
        <v>13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 t="s">
        <v>28</v>
      </c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418922</v>
      </c>
      <c r="D10" s="48"/>
      <c r="E10" s="47">
        <v>419573</v>
      </c>
      <c r="F10" s="49"/>
      <c r="G10" s="47">
        <v>420602</v>
      </c>
      <c r="H10" s="48"/>
      <c r="I10" s="47">
        <v>421023</v>
      </c>
      <c r="J10" s="48"/>
      <c r="K10" s="47">
        <v>421212</v>
      </c>
      <c r="L10" s="48"/>
      <c r="M10" s="50">
        <f>IF(OR(K10=0,C10=0),"-",IF((K10-C10)&lt;0,"Erreur",(K10-C10)))</f>
        <v>2290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228845</v>
      </c>
      <c r="D11" s="63"/>
      <c r="E11" s="64"/>
      <c r="F11" s="64"/>
      <c r="G11" s="65"/>
      <c r="H11" s="66"/>
      <c r="I11" s="64"/>
      <c r="J11" s="64"/>
      <c r="K11" s="62">
        <v>228845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64303</v>
      </c>
      <c r="D12" s="63"/>
      <c r="E12" s="64"/>
      <c r="F12" s="64"/>
      <c r="G12" s="65"/>
      <c r="H12" s="66"/>
      <c r="I12" s="64"/>
      <c r="J12" s="64"/>
      <c r="K12" s="62">
        <v>64920</v>
      </c>
      <c r="L12" s="63"/>
      <c r="M12" s="57">
        <f>IF(OR(K12=0,C12=0),"-",IF((K12-C12)&lt;0,"Erreur",(K12-C12)))</f>
        <v>617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38996815</v>
      </c>
      <c r="D13" s="85"/>
      <c r="E13" s="84">
        <v>38999639</v>
      </c>
      <c r="F13" s="85"/>
      <c r="G13" s="84">
        <v>39004394</v>
      </c>
      <c r="H13" s="85"/>
      <c r="I13" s="84">
        <v>39006126</v>
      </c>
      <c r="J13" s="85"/>
      <c r="K13" s="84">
        <v>39007004</v>
      </c>
      <c r="L13" s="85"/>
      <c r="M13" s="57">
        <f>IF(OR(K13=0,C13=0),"-",IF((K13-C13)&lt;0,"Erreur",(K13-C13)))</f>
        <v>10189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>
        <v>118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>
        <v>15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1029</v>
      </c>
      <c r="B17" s="94"/>
      <c r="C17" s="93">
        <f>IF(OR(I10=0,G10=0),"-",IF((I10-G10)&lt;0,"Erreur",(I10-G10)))</f>
        <v>421</v>
      </c>
      <c r="D17" s="94"/>
      <c r="E17" s="95">
        <f>IF(OR(I10=0,K10=0,C10=0,E10=0),"-",IF(((K10-I10)+(E10-C10))&lt;0,"Erreur",((K10-I10)+(E10-C10))))</f>
        <v>840</v>
      </c>
      <c r="F17" s="96"/>
      <c r="G17" s="97">
        <f>SUM(A17:F17)</f>
        <v>2290</v>
      </c>
      <c r="H17" s="98"/>
      <c r="I17" s="3"/>
      <c r="J17" s="99" t="s">
        <v>44</v>
      </c>
      <c r="K17" s="100"/>
      <c r="L17" s="101" t="s">
        <v>167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118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05h59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38996815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39007004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694403.69999992847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10189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10189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2290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10.189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2279.8110000000001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10.189</v>
      </c>
    </row>
    <row r="29" spans="1:23" ht="28.35" customHeight="1" thickTop="1" thickBot="1">
      <c r="B29" s="131" t="s">
        <v>63</v>
      </c>
      <c r="C29" s="132"/>
      <c r="D29" s="133">
        <v>738745380.10000002</v>
      </c>
      <c r="E29" s="133"/>
      <c r="F29" s="133"/>
      <c r="G29" s="133"/>
      <c r="H29" s="133">
        <v>739439783.79999995</v>
      </c>
      <c r="I29" s="133"/>
      <c r="J29" s="133"/>
      <c r="K29" s="133"/>
      <c r="L29" s="134">
        <f>IF(OR(H29=0,D29=0),"-",IF((H29-D29)&lt;0,"Erreur",(H29-D29)))</f>
        <v>694403.69999992847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2331</v>
      </c>
      <c r="E33" s="159"/>
      <c r="F33" s="159"/>
      <c r="G33" s="159"/>
      <c r="H33" s="159">
        <v>2331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2258</v>
      </c>
      <c r="E35" s="159"/>
      <c r="F35" s="159"/>
      <c r="G35" s="159"/>
      <c r="H35" s="159">
        <v>2258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27781.9</v>
      </c>
      <c r="E39" s="167"/>
      <c r="F39" s="167"/>
      <c r="G39" s="168"/>
      <c r="H39" s="166">
        <v>27805.9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27750</v>
      </c>
      <c r="E41" s="159"/>
      <c r="F41" s="159"/>
      <c r="G41" s="159"/>
      <c r="H41" s="159">
        <v>27774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158</v>
      </c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6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163</v>
      </c>
      <c r="B46" s="188"/>
      <c r="C46" s="253" t="s">
        <v>164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1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 t="s">
        <v>163</v>
      </c>
      <c r="B47" s="181"/>
      <c r="C47" s="180" t="s">
        <v>165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4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 t="s">
        <v>166</v>
      </c>
      <c r="B48" s="179"/>
      <c r="C48" s="180" t="s">
        <v>106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4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 t="s">
        <v>25</v>
      </c>
      <c r="B49" s="183"/>
      <c r="C49" s="184" t="s">
        <v>168</v>
      </c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/>
      <c r="B50" s="181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/>
      <c r="B51" s="181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/>
      <c r="B52" s="176"/>
      <c r="C52" s="184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189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/>
      <c r="B55" s="176"/>
      <c r="C55" s="17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/>
      <c r="B56" s="181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9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 t="s">
        <v>159</v>
      </c>
      <c r="B81" s="231"/>
      <c r="C81" s="232" t="s">
        <v>160</v>
      </c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 t="s">
        <v>146</v>
      </c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 t="s">
        <v>162</v>
      </c>
      <c r="B82" s="233"/>
      <c r="C82" s="232" t="s">
        <v>161</v>
      </c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 t="s">
        <v>146</v>
      </c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170" t="s">
        <v>88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171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90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" name="Plage2_2_1_1_1_1"/>
    <protectedRange password="EC6D" sqref="C50:C51" name="Plage2_2_3_1_1_2"/>
    <protectedRange password="EC6D" sqref="C46" name="Plage2_2_2_1_2_1_2_1_1_1_1"/>
    <protectedRange password="EC6D" sqref="C47" name="Plage2_2_1"/>
    <protectedRange password="EC6D" sqref="L48:N48 C48" name="Plage2_4_1_1"/>
    <protectedRange password="EC6D" sqref="C45 C49" name="Plage2_2_1_1_1_1_1_1_1"/>
  </protectedRanges>
  <mergeCells count="374"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482" priority="18" operator="containsText" text="Erreur">
      <formula>NOT(ISERROR(SEARCH("Erreur",A17)))</formula>
    </cfRule>
    <cfRule type="containsText" dxfId="481" priority="19" operator="containsText" text="Erreur">
      <formula>NOT(ISERROR(SEARCH("Erreur",A17)))</formula>
    </cfRule>
    <cfRule type="containsText" dxfId="480" priority="20" operator="containsText" text="Erreur">
      <formula>NOT(ISERROR(SEARCH("Erreur",A17)))</formula>
    </cfRule>
    <cfRule type="cellIs" dxfId="479" priority="21" operator="lessThan">
      <formula>0</formula>
    </cfRule>
  </conditionalFormatting>
  <conditionalFormatting sqref="R11">
    <cfRule type="containsText" dxfId="478" priority="17" operator="containsText" text="Erreur">
      <formula>NOT(ISERROR(SEARCH("Erreur",R11)))</formula>
    </cfRule>
  </conditionalFormatting>
  <conditionalFormatting sqref="H24:L24">
    <cfRule type="containsText" dxfId="477" priority="16" operator="containsText" text="Erreur">
      <formula>NOT(ISERROR(SEARCH("Erreur",H24)))</formula>
    </cfRule>
  </conditionalFormatting>
  <conditionalFormatting sqref="L29:N30 L32:N36">
    <cfRule type="cellIs" dxfId="476" priority="15" operator="equal">
      <formula>"Erreur"</formula>
    </cfRule>
  </conditionalFormatting>
  <conditionalFormatting sqref="M10 M11:O13">
    <cfRule type="cellIs" dxfId="475" priority="13" operator="equal">
      <formula>"-"</formula>
    </cfRule>
    <cfRule type="cellIs" dxfId="474" priority="14" operator="equal">
      <formula>"Erreur"</formula>
    </cfRule>
  </conditionalFormatting>
  <conditionalFormatting sqref="A17:D17 L25:O25 G17:H17 L29:N30 L32:N36">
    <cfRule type="cellIs" dxfId="473" priority="12" operator="equal">
      <formula>"-"</formula>
    </cfRule>
  </conditionalFormatting>
  <conditionalFormatting sqref="E17:F17">
    <cfRule type="cellIs" dxfId="472" priority="7" operator="equal">
      <formula>"-"</formula>
    </cfRule>
    <cfRule type="containsText" dxfId="471" priority="8" operator="containsText" text="Erreur">
      <formula>NOT(ISERROR(SEARCH("Erreur",E17)))</formula>
    </cfRule>
    <cfRule type="containsText" dxfId="470" priority="9" operator="containsText" text="Erreur">
      <formula>NOT(ISERROR(SEARCH("Erreur",E17)))</formula>
    </cfRule>
    <cfRule type="containsText" dxfId="469" priority="10" operator="containsText" text="Erreur">
      <formula>NOT(ISERROR(SEARCH("Erreur",E17)))</formula>
    </cfRule>
    <cfRule type="cellIs" dxfId="468" priority="11" operator="lessThan">
      <formula>0</formula>
    </cfRule>
  </conditionalFormatting>
  <conditionalFormatting sqref="D24:O24">
    <cfRule type="cellIs" dxfId="467" priority="5" operator="equal">
      <formula>"-"</formula>
    </cfRule>
    <cfRule type="containsText" dxfId="466" priority="6" operator="containsText" text="Erreur">
      <formula>NOT(ISERROR(SEARCH("Erreur",D24)))</formula>
    </cfRule>
  </conditionalFormatting>
  <conditionalFormatting sqref="L39:N42">
    <cfRule type="cellIs" dxfId="465" priority="3" operator="equal">
      <formula>"Erreur"</formula>
    </cfRule>
    <cfRule type="cellIs" dxfId="464" priority="4" operator="equal">
      <formula>"-"</formula>
    </cfRule>
  </conditionalFormatting>
  <conditionalFormatting sqref="D24:G24">
    <cfRule type="cellIs" dxfId="463" priority="1" operator="equal">
      <formula>"-"</formula>
    </cfRule>
    <cfRule type="containsText" dxfId="462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204"/>
  <sheetViews>
    <sheetView topLeftCell="A34" zoomScale="120" zoomScaleNormal="120" workbookViewId="0">
      <selection activeCell="A97" sqref="A97:O97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169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6</v>
      </c>
      <c r="E3" s="38"/>
      <c r="F3" s="38"/>
      <c r="G3" s="37" t="s">
        <v>5</v>
      </c>
      <c r="H3" s="38"/>
      <c r="I3" s="38"/>
      <c r="J3" s="37" t="s">
        <v>5</v>
      </c>
      <c r="K3" s="38"/>
      <c r="L3" s="38"/>
      <c r="M3" s="37" t="s">
        <v>6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10</v>
      </c>
      <c r="E4" s="38"/>
      <c r="F4" s="38"/>
      <c r="G4" s="38" t="s">
        <v>27</v>
      </c>
      <c r="H4" s="38"/>
      <c r="I4" s="38"/>
      <c r="J4" s="38" t="s">
        <v>8</v>
      </c>
      <c r="K4" s="38"/>
      <c r="L4" s="38"/>
      <c r="M4" s="38" t="s">
        <v>10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13</v>
      </c>
      <c r="E5" s="38"/>
      <c r="F5" s="38"/>
      <c r="G5" s="38" t="s">
        <v>19</v>
      </c>
      <c r="H5" s="38"/>
      <c r="I5" s="38"/>
      <c r="J5" s="38" t="s">
        <v>93</v>
      </c>
      <c r="K5" s="38"/>
      <c r="L5" s="38"/>
      <c r="M5" s="38" t="s">
        <v>13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 t="s">
        <v>28</v>
      </c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421212</v>
      </c>
      <c r="D10" s="48"/>
      <c r="E10" s="47">
        <v>421860</v>
      </c>
      <c r="F10" s="49"/>
      <c r="G10" s="47">
        <v>422984</v>
      </c>
      <c r="H10" s="48"/>
      <c r="I10" s="47">
        <v>423404</v>
      </c>
      <c r="J10" s="48"/>
      <c r="K10" s="47">
        <v>423606</v>
      </c>
      <c r="L10" s="48"/>
      <c r="M10" s="50">
        <f>IF(OR(K10=0,C10=0),"-",IF((K10-C10)&lt;0,"Erreur",(K10-C10)))</f>
        <v>2394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228845</v>
      </c>
      <c r="D11" s="63"/>
      <c r="E11" s="64"/>
      <c r="F11" s="64"/>
      <c r="G11" s="65"/>
      <c r="H11" s="66"/>
      <c r="I11" s="64"/>
      <c r="J11" s="64"/>
      <c r="K11" s="62">
        <v>228849</v>
      </c>
      <c r="L11" s="63"/>
      <c r="M11" s="57">
        <f>IF(OR(K11=0,C11=0),"-",IF((K11-C11)&lt;0,"Erreur",(K11-C11)))</f>
        <v>4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64920</v>
      </c>
      <c r="D12" s="63"/>
      <c r="E12" s="64"/>
      <c r="F12" s="64"/>
      <c r="G12" s="65"/>
      <c r="H12" s="66"/>
      <c r="I12" s="64"/>
      <c r="J12" s="64"/>
      <c r="K12" s="62">
        <v>65382</v>
      </c>
      <c r="L12" s="63"/>
      <c r="M12" s="57">
        <f>IF(OR(K12=0,C12=0),"-",IF((K12-C12)&lt;0,"Erreur",(K12-C12)))</f>
        <v>462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39007004</v>
      </c>
      <c r="D13" s="85"/>
      <c r="E13" s="84">
        <v>39010015</v>
      </c>
      <c r="F13" s="85"/>
      <c r="G13" s="84">
        <v>39014860</v>
      </c>
      <c r="H13" s="85"/>
      <c r="I13" s="84">
        <v>39016564</v>
      </c>
      <c r="J13" s="85"/>
      <c r="K13" s="84">
        <v>39017476</v>
      </c>
      <c r="L13" s="85"/>
      <c r="M13" s="57">
        <f>IF(OR(K13=0,C13=0),"-",IF((K13-C13)&lt;0,"Erreur",(K13-C13)))</f>
        <v>10472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>
        <v>118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>
        <v>15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1124</v>
      </c>
      <c r="B17" s="94"/>
      <c r="C17" s="93">
        <f>IF(OR(I10=0,G10=0),"-",IF((I10-G10)&lt;0,"Erreur",(I10-G10)))</f>
        <v>420</v>
      </c>
      <c r="D17" s="94"/>
      <c r="E17" s="95">
        <f>IF(OR(I10=0,K10=0,C10=0,E10=0),"-",IF(((K10-I10)+(E10-C10))&lt;0,"Erreur",((K10-I10)+(E10-C10))))</f>
        <v>850</v>
      </c>
      <c r="F17" s="96"/>
      <c r="G17" s="97">
        <f>SUM(A17:F17)</f>
        <v>2394</v>
      </c>
      <c r="H17" s="98"/>
      <c r="I17" s="3"/>
      <c r="J17" s="99" t="s">
        <v>44</v>
      </c>
      <c r="K17" s="100"/>
      <c r="L17" s="101" t="s">
        <v>176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118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06h09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39007004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39017476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713435.20000004768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10472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10472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2394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10.472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2383.5279999999998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10.472</v>
      </c>
    </row>
    <row r="29" spans="1:23" ht="28.35" customHeight="1" thickTop="1" thickBot="1">
      <c r="B29" s="131" t="s">
        <v>63</v>
      </c>
      <c r="C29" s="132"/>
      <c r="D29" s="133">
        <v>739439783.79999995</v>
      </c>
      <c r="E29" s="133"/>
      <c r="F29" s="133"/>
      <c r="G29" s="133"/>
      <c r="H29" s="133">
        <v>740153219</v>
      </c>
      <c r="I29" s="133"/>
      <c r="J29" s="133"/>
      <c r="K29" s="133"/>
      <c r="L29" s="134">
        <f>IF(OR(H29=0,D29=0),"-",IF((H29-D29)&lt;0,"Erreur",(H29-D29)))</f>
        <v>713435.20000004768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2331</v>
      </c>
      <c r="E33" s="159"/>
      <c r="F33" s="159"/>
      <c r="G33" s="159"/>
      <c r="H33" s="159">
        <v>2331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2258</v>
      </c>
      <c r="E35" s="159"/>
      <c r="F35" s="159"/>
      <c r="G35" s="159"/>
      <c r="H35" s="159">
        <v>2258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27805.9</v>
      </c>
      <c r="E39" s="167"/>
      <c r="F39" s="167"/>
      <c r="G39" s="168"/>
      <c r="H39" s="166">
        <v>27829.9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27774</v>
      </c>
      <c r="E41" s="159"/>
      <c r="F41" s="159"/>
      <c r="G41" s="159"/>
      <c r="H41" s="159">
        <v>27798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168</v>
      </c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6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170</v>
      </c>
      <c r="B46" s="188"/>
      <c r="C46" s="253" t="s">
        <v>171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1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 t="s">
        <v>172</v>
      </c>
      <c r="B47" s="181"/>
      <c r="C47" s="254" t="s">
        <v>173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4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 t="s">
        <v>174</v>
      </c>
      <c r="B48" s="179"/>
      <c r="C48" s="180" t="s">
        <v>175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4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 t="s">
        <v>25</v>
      </c>
      <c r="B49" s="183"/>
      <c r="C49" s="184" t="s">
        <v>177</v>
      </c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/>
      <c r="B50" s="181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/>
      <c r="B51" s="181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/>
      <c r="B52" s="176"/>
      <c r="C52" s="184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189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/>
      <c r="B55" s="176"/>
      <c r="C55" s="17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/>
      <c r="B56" s="181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9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/>
      <c r="B81" s="231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/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/>
      <c r="B82" s="233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170" t="s">
        <v>88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171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90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" name="Plage2_2_1_1_1_1"/>
    <protectedRange password="EC6D" sqref="C50:C51" name="Plage2_2_3_1_1_2"/>
    <protectedRange password="EC6D" sqref="C46" name="Plage2_2_2_1_2_1_2_1_1_1_1"/>
    <protectedRange password="EC6D" sqref="C47" name="Plage2_2_1"/>
    <protectedRange password="EC6D" sqref="L48:N48 C48" name="Plage2_4_1_1"/>
    <protectedRange password="EC6D" sqref="C45 C49" name="Plage2_2_1_1_1_1_1_1_1"/>
  </protectedRanges>
  <mergeCells count="374"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461" priority="18" operator="containsText" text="Erreur">
      <formula>NOT(ISERROR(SEARCH("Erreur",A17)))</formula>
    </cfRule>
    <cfRule type="containsText" dxfId="460" priority="19" operator="containsText" text="Erreur">
      <formula>NOT(ISERROR(SEARCH("Erreur",A17)))</formula>
    </cfRule>
    <cfRule type="containsText" dxfId="459" priority="20" operator="containsText" text="Erreur">
      <formula>NOT(ISERROR(SEARCH("Erreur",A17)))</formula>
    </cfRule>
    <cfRule type="cellIs" dxfId="458" priority="21" operator="lessThan">
      <formula>0</formula>
    </cfRule>
  </conditionalFormatting>
  <conditionalFormatting sqref="R11">
    <cfRule type="containsText" dxfId="457" priority="17" operator="containsText" text="Erreur">
      <formula>NOT(ISERROR(SEARCH("Erreur",R11)))</formula>
    </cfRule>
  </conditionalFormatting>
  <conditionalFormatting sqref="H24:L24">
    <cfRule type="containsText" dxfId="456" priority="16" operator="containsText" text="Erreur">
      <formula>NOT(ISERROR(SEARCH("Erreur",H24)))</formula>
    </cfRule>
  </conditionalFormatting>
  <conditionalFormatting sqref="L29:N30 L32:N36">
    <cfRule type="cellIs" dxfId="455" priority="15" operator="equal">
      <formula>"Erreur"</formula>
    </cfRule>
  </conditionalFormatting>
  <conditionalFormatting sqref="M10 M11:O13">
    <cfRule type="cellIs" dxfId="454" priority="13" operator="equal">
      <formula>"-"</formula>
    </cfRule>
    <cfRule type="cellIs" dxfId="453" priority="14" operator="equal">
      <formula>"Erreur"</formula>
    </cfRule>
  </conditionalFormatting>
  <conditionalFormatting sqref="A17:D17 L25:O25 G17:H17 L29:N30 L32:N36">
    <cfRule type="cellIs" dxfId="452" priority="12" operator="equal">
      <formula>"-"</formula>
    </cfRule>
  </conditionalFormatting>
  <conditionalFormatting sqref="E17:F17">
    <cfRule type="cellIs" dxfId="451" priority="7" operator="equal">
      <formula>"-"</formula>
    </cfRule>
    <cfRule type="containsText" dxfId="450" priority="8" operator="containsText" text="Erreur">
      <formula>NOT(ISERROR(SEARCH("Erreur",E17)))</formula>
    </cfRule>
    <cfRule type="containsText" dxfId="449" priority="9" operator="containsText" text="Erreur">
      <formula>NOT(ISERROR(SEARCH("Erreur",E17)))</formula>
    </cfRule>
    <cfRule type="containsText" dxfId="448" priority="10" operator="containsText" text="Erreur">
      <formula>NOT(ISERROR(SEARCH("Erreur",E17)))</formula>
    </cfRule>
    <cfRule type="cellIs" dxfId="447" priority="11" operator="lessThan">
      <formula>0</formula>
    </cfRule>
  </conditionalFormatting>
  <conditionalFormatting sqref="D24:O24">
    <cfRule type="cellIs" dxfId="446" priority="5" operator="equal">
      <formula>"-"</formula>
    </cfRule>
    <cfRule type="containsText" dxfId="445" priority="6" operator="containsText" text="Erreur">
      <formula>NOT(ISERROR(SEARCH("Erreur",D24)))</formula>
    </cfRule>
  </conditionalFormatting>
  <conditionalFormatting sqref="L39:N42">
    <cfRule type="cellIs" dxfId="444" priority="3" operator="equal">
      <formula>"Erreur"</formula>
    </cfRule>
    <cfRule type="cellIs" dxfId="443" priority="4" operator="equal">
      <formula>"-"</formula>
    </cfRule>
  </conditionalFormatting>
  <conditionalFormatting sqref="D24:G24">
    <cfRule type="cellIs" dxfId="442" priority="1" operator="equal">
      <formula>"-"</formula>
    </cfRule>
    <cfRule type="containsText" dxfId="441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E204"/>
  <sheetViews>
    <sheetView topLeftCell="A34" zoomScale="120" zoomScaleNormal="120" workbookViewId="0">
      <selection activeCell="A47" sqref="A47:B47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178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6</v>
      </c>
      <c r="E3" s="38"/>
      <c r="F3" s="38"/>
      <c r="G3" s="37" t="s">
        <v>5</v>
      </c>
      <c r="H3" s="38"/>
      <c r="I3" s="38"/>
      <c r="J3" s="37" t="s">
        <v>18</v>
      </c>
      <c r="K3" s="38"/>
      <c r="L3" s="38"/>
      <c r="M3" s="37" t="s">
        <v>18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10</v>
      </c>
      <c r="E4" s="38"/>
      <c r="F4" s="38"/>
      <c r="G4" s="38" t="s">
        <v>8</v>
      </c>
      <c r="H4" s="38"/>
      <c r="I4" s="38"/>
      <c r="J4" s="38" t="s">
        <v>27</v>
      </c>
      <c r="K4" s="38"/>
      <c r="L4" s="38"/>
      <c r="M4" s="38" t="s">
        <v>27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13</v>
      </c>
      <c r="E5" s="38"/>
      <c r="F5" s="38"/>
      <c r="G5" s="38" t="s">
        <v>93</v>
      </c>
      <c r="H5" s="38"/>
      <c r="I5" s="38"/>
      <c r="J5" s="38" t="s">
        <v>19</v>
      </c>
      <c r="K5" s="38"/>
      <c r="L5" s="38"/>
      <c r="M5" s="38" t="s">
        <v>19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/>
      <c r="K6" s="38"/>
      <c r="L6" s="38"/>
      <c r="M6" s="38" t="s">
        <v>28</v>
      </c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423606</v>
      </c>
      <c r="D10" s="48"/>
      <c r="E10" s="47">
        <v>424252</v>
      </c>
      <c r="F10" s="49"/>
      <c r="G10" s="47">
        <v>425163</v>
      </c>
      <c r="H10" s="48"/>
      <c r="I10" s="47">
        <v>425617</v>
      </c>
      <c r="J10" s="48"/>
      <c r="K10" s="47">
        <v>425769</v>
      </c>
      <c r="L10" s="48"/>
      <c r="M10" s="50">
        <f>IF(OR(K10=0,C10=0),"-",IF((K10-C10)&lt;0,"Erreur",(K10-C10)))</f>
        <v>2163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228849</v>
      </c>
      <c r="D11" s="63"/>
      <c r="E11" s="64"/>
      <c r="F11" s="64"/>
      <c r="G11" s="65"/>
      <c r="H11" s="66"/>
      <c r="I11" s="64"/>
      <c r="J11" s="64"/>
      <c r="K11" s="62">
        <v>228849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65382</v>
      </c>
      <c r="D12" s="63"/>
      <c r="E12" s="64"/>
      <c r="F12" s="64"/>
      <c r="G12" s="65"/>
      <c r="H12" s="66"/>
      <c r="I12" s="64"/>
      <c r="J12" s="64"/>
      <c r="K12" s="62">
        <v>66046</v>
      </c>
      <c r="L12" s="63"/>
      <c r="M12" s="57">
        <f>IF(OR(K12=0,C12=0),"-",IF((K12-C12)&lt;0,"Erreur",(K12-C12)))</f>
        <v>664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39017476</v>
      </c>
      <c r="D13" s="85"/>
      <c r="E13" s="84">
        <v>39020388</v>
      </c>
      <c r="F13" s="85"/>
      <c r="G13" s="84">
        <v>39025169</v>
      </c>
      <c r="H13" s="85"/>
      <c r="I13" s="84">
        <v>39026905</v>
      </c>
      <c r="J13" s="85"/>
      <c r="K13" s="84">
        <v>39027740</v>
      </c>
      <c r="L13" s="85"/>
      <c r="M13" s="57">
        <f>IF(OR(K13=0,C13=0),"-",IF((K13-C13)&lt;0,"Erreur",(K13-C13)))</f>
        <v>10264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199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>
        <v>20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911</v>
      </c>
      <c r="B17" s="94"/>
      <c r="C17" s="93">
        <f>IF(OR(I10=0,G10=0),"-",IF((I10-G10)&lt;0,"Erreur",(I10-G10)))</f>
        <v>454</v>
      </c>
      <c r="D17" s="94"/>
      <c r="E17" s="95">
        <f>IF(OR(I10=0,K10=0,C10=0,E10=0),"-",IF(((K10-I10)+(E10-C10))&lt;0,"Erreur",((K10-I10)+(E10-C10))))</f>
        <v>798</v>
      </c>
      <c r="F17" s="96"/>
      <c r="G17" s="97">
        <f>SUM(A17:F17)</f>
        <v>2163</v>
      </c>
      <c r="H17" s="98"/>
      <c r="I17" s="3"/>
      <c r="J17" s="99" t="s">
        <v>44</v>
      </c>
      <c r="K17" s="100"/>
      <c r="L17" s="101" t="s">
        <v>24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112mw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22h00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39017476</v>
      </c>
      <c r="E22" s="110"/>
      <c r="F22" s="110"/>
      <c r="G22" s="111"/>
      <c r="H22" s="112">
        <v>39021575</v>
      </c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39021450</v>
      </c>
      <c r="E23" s="110"/>
      <c r="F23" s="110"/>
      <c r="G23" s="111"/>
      <c r="H23" s="62">
        <v>39027740</v>
      </c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670480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3974</v>
      </c>
      <c r="E24" s="123"/>
      <c r="F24" s="123"/>
      <c r="G24" s="124"/>
      <c r="H24" s="122">
        <f>IF(OR(H22=0,H23=0),"-",IF((H23-H22)&lt;0,"Erreur",(H23-H22)))</f>
        <v>6165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10139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2163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10.138999999999999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2152.8609999999999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10.263999999999999</v>
      </c>
    </row>
    <row r="29" spans="1:23" ht="28.35" customHeight="1" thickTop="1" thickBot="1">
      <c r="B29" s="131" t="s">
        <v>63</v>
      </c>
      <c r="C29" s="132"/>
      <c r="D29" s="133">
        <v>740153219</v>
      </c>
      <c r="E29" s="133"/>
      <c r="F29" s="133"/>
      <c r="G29" s="133"/>
      <c r="H29" s="133">
        <v>740823699</v>
      </c>
      <c r="I29" s="133"/>
      <c r="J29" s="133"/>
      <c r="K29" s="133"/>
      <c r="L29" s="134">
        <f>IF(OR(H29=0,D29=0),"-",IF((H29-D29)&lt;0,"Erreur",(H29-D29)))</f>
        <v>670480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2331</v>
      </c>
      <c r="E33" s="159"/>
      <c r="F33" s="159"/>
      <c r="G33" s="159"/>
      <c r="H33" s="159">
        <v>2331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2258</v>
      </c>
      <c r="E35" s="159"/>
      <c r="F35" s="159"/>
      <c r="G35" s="159"/>
      <c r="H35" s="159">
        <v>2258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>
        <v>1</v>
      </c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27829.9</v>
      </c>
      <c r="E39" s="167"/>
      <c r="F39" s="167"/>
      <c r="G39" s="168"/>
      <c r="H39" s="166">
        <v>27853.9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27798</v>
      </c>
      <c r="E41" s="159"/>
      <c r="F41" s="159"/>
      <c r="G41" s="159"/>
      <c r="H41" s="159">
        <v>27822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177</v>
      </c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6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179</v>
      </c>
      <c r="B46" s="188"/>
      <c r="C46" s="253" t="s">
        <v>180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1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 t="s">
        <v>182</v>
      </c>
      <c r="B47" s="181"/>
      <c r="C47" s="184" t="s">
        <v>181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6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 t="s">
        <v>183</v>
      </c>
      <c r="B48" s="179"/>
      <c r="C48" s="189" t="s">
        <v>184</v>
      </c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1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 t="s">
        <v>185</v>
      </c>
      <c r="B49" s="183"/>
      <c r="C49" s="184" t="s">
        <v>186</v>
      </c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 t="s">
        <v>187</v>
      </c>
      <c r="B50" s="181"/>
      <c r="C50" s="172" t="s">
        <v>188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 t="s">
        <v>189</v>
      </c>
      <c r="B51" s="181"/>
      <c r="C51" s="172" t="s">
        <v>190</v>
      </c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 t="s">
        <v>191</v>
      </c>
      <c r="B52" s="176"/>
      <c r="C52" s="184" t="s">
        <v>106</v>
      </c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 t="s">
        <v>192</v>
      </c>
      <c r="B53" s="176"/>
      <c r="C53" s="189" t="s">
        <v>180</v>
      </c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 t="s">
        <v>194</v>
      </c>
      <c r="B54" s="176"/>
      <c r="C54" s="172" t="s">
        <v>193</v>
      </c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 t="s">
        <v>195</v>
      </c>
      <c r="B55" s="176"/>
      <c r="C55" s="172" t="s">
        <v>196</v>
      </c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 t="s">
        <v>197</v>
      </c>
      <c r="B56" s="181"/>
      <c r="C56" s="172" t="s">
        <v>106</v>
      </c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 t="s">
        <v>25</v>
      </c>
      <c r="B57" s="176"/>
      <c r="C57" s="189" t="s">
        <v>198</v>
      </c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/>
      <c r="B81" s="231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/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/>
      <c r="B82" s="233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255" t="s">
        <v>88</v>
      </c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7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201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" name="Plage2_2_1_1_1_1"/>
    <protectedRange password="EC6D" sqref="C50:C51" name="Plage2_2_3_1_1_2"/>
    <protectedRange password="EC6D" sqref="C46" name="Plage2_2_2_1_2_1_2_1_1_1_1"/>
    <protectedRange password="EC6D" sqref="C49 C45" name="Plage2_2_1_1_1_1_1_1_1"/>
    <protectedRange password="EC6D" sqref="C47" name="Plage2_2_2_2_1_2_1"/>
    <protectedRange password="EC6D" sqref="C48" name="Plage2_2_2_1_2_1_2_1_1_1"/>
  </protectedRanges>
  <mergeCells count="374"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440" priority="18" operator="containsText" text="Erreur">
      <formula>NOT(ISERROR(SEARCH("Erreur",A17)))</formula>
    </cfRule>
    <cfRule type="containsText" dxfId="439" priority="19" operator="containsText" text="Erreur">
      <formula>NOT(ISERROR(SEARCH("Erreur",A17)))</formula>
    </cfRule>
    <cfRule type="containsText" dxfId="438" priority="20" operator="containsText" text="Erreur">
      <formula>NOT(ISERROR(SEARCH("Erreur",A17)))</formula>
    </cfRule>
    <cfRule type="cellIs" dxfId="437" priority="21" operator="lessThan">
      <formula>0</formula>
    </cfRule>
  </conditionalFormatting>
  <conditionalFormatting sqref="R11">
    <cfRule type="containsText" dxfId="436" priority="17" operator="containsText" text="Erreur">
      <formula>NOT(ISERROR(SEARCH("Erreur",R11)))</formula>
    </cfRule>
  </conditionalFormatting>
  <conditionalFormatting sqref="H24:L24">
    <cfRule type="containsText" dxfId="435" priority="16" operator="containsText" text="Erreur">
      <formula>NOT(ISERROR(SEARCH("Erreur",H24)))</formula>
    </cfRule>
  </conditionalFormatting>
  <conditionalFormatting sqref="L29:N30 L32:N36">
    <cfRule type="cellIs" dxfId="434" priority="15" operator="equal">
      <formula>"Erreur"</formula>
    </cfRule>
  </conditionalFormatting>
  <conditionalFormatting sqref="M10 M11:O13">
    <cfRule type="cellIs" dxfId="433" priority="13" operator="equal">
      <formula>"-"</formula>
    </cfRule>
    <cfRule type="cellIs" dxfId="432" priority="14" operator="equal">
      <formula>"Erreur"</formula>
    </cfRule>
  </conditionalFormatting>
  <conditionalFormatting sqref="A17:D17 L25:O25 G17:H17 L29:N30 L32:N36">
    <cfRule type="cellIs" dxfId="431" priority="12" operator="equal">
      <formula>"-"</formula>
    </cfRule>
  </conditionalFormatting>
  <conditionalFormatting sqref="E17:F17">
    <cfRule type="cellIs" dxfId="430" priority="7" operator="equal">
      <formula>"-"</formula>
    </cfRule>
    <cfRule type="containsText" dxfId="429" priority="8" operator="containsText" text="Erreur">
      <formula>NOT(ISERROR(SEARCH("Erreur",E17)))</formula>
    </cfRule>
    <cfRule type="containsText" dxfId="428" priority="9" operator="containsText" text="Erreur">
      <formula>NOT(ISERROR(SEARCH("Erreur",E17)))</formula>
    </cfRule>
    <cfRule type="containsText" dxfId="427" priority="10" operator="containsText" text="Erreur">
      <formula>NOT(ISERROR(SEARCH("Erreur",E17)))</formula>
    </cfRule>
    <cfRule type="cellIs" dxfId="426" priority="11" operator="lessThan">
      <formula>0</formula>
    </cfRule>
  </conditionalFormatting>
  <conditionalFormatting sqref="D24:O24">
    <cfRule type="cellIs" dxfId="425" priority="5" operator="equal">
      <formula>"-"</formula>
    </cfRule>
    <cfRule type="containsText" dxfId="424" priority="6" operator="containsText" text="Erreur">
      <formula>NOT(ISERROR(SEARCH("Erreur",D24)))</formula>
    </cfRule>
  </conditionalFormatting>
  <conditionalFormatting sqref="L39:N42">
    <cfRule type="cellIs" dxfId="423" priority="3" operator="equal">
      <formula>"Erreur"</formula>
    </cfRule>
    <cfRule type="cellIs" dxfId="422" priority="4" operator="equal">
      <formula>"-"</formula>
    </cfRule>
  </conditionalFormatting>
  <conditionalFormatting sqref="D24:G24">
    <cfRule type="cellIs" dxfId="421" priority="1" operator="equal">
      <formula>"-"</formula>
    </cfRule>
    <cfRule type="containsText" dxfId="420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204"/>
  <sheetViews>
    <sheetView topLeftCell="A40" zoomScale="120" zoomScaleNormal="120" workbookViewId="0">
      <selection activeCell="P24" sqref="P24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200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18</v>
      </c>
      <c r="E3" s="38"/>
      <c r="F3" s="38"/>
      <c r="G3" s="37" t="s">
        <v>5</v>
      </c>
      <c r="H3" s="38"/>
      <c r="I3" s="38"/>
      <c r="J3" s="37" t="s">
        <v>18</v>
      </c>
      <c r="K3" s="38"/>
      <c r="L3" s="38"/>
      <c r="M3" s="37" t="s">
        <v>5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27</v>
      </c>
      <c r="E4" s="38"/>
      <c r="F4" s="38"/>
      <c r="G4" s="38" t="s">
        <v>8</v>
      </c>
      <c r="H4" s="38"/>
      <c r="I4" s="38"/>
      <c r="J4" s="38" t="s">
        <v>8</v>
      </c>
      <c r="K4" s="38"/>
      <c r="L4" s="38"/>
      <c r="M4" s="38" t="s">
        <v>27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19</v>
      </c>
      <c r="E5" s="38"/>
      <c r="F5" s="38"/>
      <c r="G5" s="38" t="s">
        <v>93</v>
      </c>
      <c r="H5" s="38"/>
      <c r="I5" s="38"/>
      <c r="J5" s="38" t="s">
        <v>93</v>
      </c>
      <c r="K5" s="38"/>
      <c r="L5" s="38"/>
      <c r="M5" s="38" t="s">
        <v>19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 t="s">
        <v>28</v>
      </c>
      <c r="E6" s="38"/>
      <c r="F6" s="38"/>
      <c r="G6" s="38"/>
      <c r="H6" s="38"/>
      <c r="I6" s="38"/>
      <c r="J6" s="38"/>
      <c r="K6" s="38"/>
      <c r="L6" s="38"/>
      <c r="M6" s="38" t="s">
        <v>28</v>
      </c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425769</v>
      </c>
      <c r="D10" s="48"/>
      <c r="E10" s="47">
        <v>426324</v>
      </c>
      <c r="F10" s="49"/>
      <c r="G10" s="47">
        <v>427223</v>
      </c>
      <c r="H10" s="48"/>
      <c r="I10" s="47">
        <v>427542</v>
      </c>
      <c r="J10" s="48"/>
      <c r="K10" s="47">
        <v>427725</v>
      </c>
      <c r="L10" s="48"/>
      <c r="M10" s="50">
        <f>IF(OR(K10=0,C10=0),"-",IF((K10-C10)&lt;0,"Erreur",(K10-C10)))</f>
        <v>1956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228849</v>
      </c>
      <c r="D11" s="63"/>
      <c r="E11" s="64"/>
      <c r="F11" s="64"/>
      <c r="G11" s="65"/>
      <c r="H11" s="66"/>
      <c r="I11" s="64"/>
      <c r="J11" s="64"/>
      <c r="K11" s="62">
        <v>228849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66046</v>
      </c>
      <c r="D12" s="63"/>
      <c r="E12" s="64"/>
      <c r="F12" s="64"/>
      <c r="G12" s="65"/>
      <c r="H12" s="66"/>
      <c r="I12" s="64"/>
      <c r="J12" s="64"/>
      <c r="K12" s="62">
        <v>66753</v>
      </c>
      <c r="L12" s="63"/>
      <c r="M12" s="57">
        <f>IF(OR(K12=0,C12=0),"-",IF((K12-C12)&lt;0,"Erreur",(K12-C12)))</f>
        <v>707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39027740</v>
      </c>
      <c r="D13" s="85"/>
      <c r="E13" s="84">
        <v>39030640</v>
      </c>
      <c r="F13" s="85"/>
      <c r="G13" s="84">
        <v>39035520</v>
      </c>
      <c r="H13" s="85"/>
      <c r="I13" s="84">
        <v>39037502</v>
      </c>
      <c r="J13" s="85"/>
      <c r="K13" s="84">
        <v>39038351</v>
      </c>
      <c r="L13" s="85"/>
      <c r="M13" s="57">
        <f>IF(OR(K13=0,C13=0),"-",IF((K13-C13)&lt;0,"Erreur",(K13-C13)))</f>
        <v>10611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>
        <v>115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>
        <v>16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899</v>
      </c>
      <c r="B17" s="94"/>
      <c r="C17" s="93">
        <f>IF(OR(I10=0,G10=0),"-",IF((I10-G10)&lt;0,"Erreur",(I10-G10)))</f>
        <v>319</v>
      </c>
      <c r="D17" s="94"/>
      <c r="E17" s="95">
        <f>IF(OR(I10=0,K10=0,C10=0,E10=0),"-",IF(((K10-I10)+(E10-C10))&lt;0,"Erreur",((K10-I10)+(E10-C10))))</f>
        <v>738</v>
      </c>
      <c r="F17" s="96"/>
      <c r="G17" s="97">
        <f>SUM(A17:F17)</f>
        <v>1956</v>
      </c>
      <c r="H17" s="98"/>
      <c r="I17" s="3"/>
      <c r="J17" s="99" t="s">
        <v>44</v>
      </c>
      <c r="K17" s="100"/>
      <c r="L17" s="101" t="s">
        <v>225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115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04h12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23.399999999997817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1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39027740</v>
      </c>
      <c r="E22" s="110"/>
      <c r="F22" s="110"/>
      <c r="G22" s="111"/>
      <c r="H22" s="112">
        <v>39037307</v>
      </c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39036790</v>
      </c>
      <c r="E23" s="110"/>
      <c r="F23" s="110"/>
      <c r="G23" s="111"/>
      <c r="H23" s="62">
        <v>39038351</v>
      </c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605518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9050</v>
      </c>
      <c r="E24" s="123"/>
      <c r="F24" s="123"/>
      <c r="G24" s="124"/>
      <c r="H24" s="122">
        <f>IF(OR(H22=0,H23=0),"-",IF((H23-H22)&lt;0,"Erreur",(H23-H22)))</f>
        <v>1044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10094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1956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10.093999999999999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1945.9059999999999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10.611000000000001</v>
      </c>
    </row>
    <row r="29" spans="1:23" ht="28.35" customHeight="1" thickTop="1" thickBot="1">
      <c r="B29" s="131" t="s">
        <v>63</v>
      </c>
      <c r="C29" s="132"/>
      <c r="D29" s="133">
        <v>740823699</v>
      </c>
      <c r="E29" s="133"/>
      <c r="F29" s="133"/>
      <c r="G29" s="133"/>
      <c r="H29" s="133">
        <v>741429217</v>
      </c>
      <c r="I29" s="133"/>
      <c r="J29" s="133"/>
      <c r="K29" s="133"/>
      <c r="L29" s="134">
        <f>IF(OR(H29=0,D29=0),"-",IF((H29-D29)&lt;0,"Erreur",(H29-D29)))</f>
        <v>605518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2331</v>
      </c>
      <c r="E33" s="159"/>
      <c r="F33" s="159"/>
      <c r="G33" s="159"/>
      <c r="H33" s="159">
        <v>2332</v>
      </c>
      <c r="I33" s="159"/>
      <c r="J33" s="159"/>
      <c r="K33" s="159"/>
      <c r="L33" s="134">
        <f>IF(OR(H33=0,D33=0),"-",IF((H33-D33)&lt;0,"Erreur",(H33-D33)))</f>
        <v>1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2258</v>
      </c>
      <c r="E35" s="159"/>
      <c r="F35" s="159"/>
      <c r="G35" s="159"/>
      <c r="H35" s="159">
        <v>2259</v>
      </c>
      <c r="I35" s="159"/>
      <c r="J35" s="159"/>
      <c r="K35" s="159"/>
      <c r="L35" s="134">
        <f>IF(OR(H35=0,D35=0),"-",IF((H35-D35)&lt;0,"Erreur",(H35-D35)))</f>
        <v>1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>
        <v>1</v>
      </c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27853.9</v>
      </c>
      <c r="E39" s="167"/>
      <c r="F39" s="167"/>
      <c r="G39" s="168"/>
      <c r="H39" s="166">
        <v>27877.3</v>
      </c>
      <c r="I39" s="167"/>
      <c r="J39" s="167"/>
      <c r="K39" s="168"/>
      <c r="L39" s="134">
        <f>IF(OR(H39=0,D39=0),"-",IF((H39-D39)&lt;0,"Erreur",(H39-D39)))</f>
        <v>23.399999999997817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27822</v>
      </c>
      <c r="E41" s="159"/>
      <c r="F41" s="159"/>
      <c r="G41" s="159"/>
      <c r="H41" s="159">
        <v>27845.4</v>
      </c>
      <c r="I41" s="159"/>
      <c r="J41" s="159"/>
      <c r="K41" s="159"/>
      <c r="L41" s="134">
        <f>IF(OR(H41=0,D41=0),"-",IF((H41-D41)&lt;0,"Erreur",(H41-D41)))</f>
        <v>23.400000000001455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198</v>
      </c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6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203</v>
      </c>
      <c r="B46" s="188"/>
      <c r="C46" s="258" t="s">
        <v>202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1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 t="s">
        <v>205</v>
      </c>
      <c r="B47" s="181"/>
      <c r="C47" s="184" t="s">
        <v>204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6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 t="s">
        <v>207</v>
      </c>
      <c r="B48" s="179"/>
      <c r="C48" s="189" t="s">
        <v>206</v>
      </c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1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 t="s">
        <v>209</v>
      </c>
      <c r="B49" s="183"/>
      <c r="C49" s="184" t="s">
        <v>208</v>
      </c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 t="s">
        <v>210</v>
      </c>
      <c r="B50" s="181"/>
      <c r="C50" s="172" t="s">
        <v>211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 t="s">
        <v>212</v>
      </c>
      <c r="B51" s="181"/>
      <c r="C51" s="172" t="s">
        <v>213</v>
      </c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 t="s">
        <v>215</v>
      </c>
      <c r="B52" s="176"/>
      <c r="C52" s="184" t="s">
        <v>214</v>
      </c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 t="s">
        <v>217</v>
      </c>
      <c r="B53" s="176"/>
      <c r="C53" s="189" t="s">
        <v>216</v>
      </c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 t="s">
        <v>218</v>
      </c>
      <c r="B54" s="176"/>
      <c r="C54" s="172" t="s">
        <v>223</v>
      </c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 t="s">
        <v>220</v>
      </c>
      <c r="B55" s="176"/>
      <c r="C55" s="172" t="s">
        <v>219</v>
      </c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 t="s">
        <v>222</v>
      </c>
      <c r="B56" s="181"/>
      <c r="C56" s="172" t="s">
        <v>221</v>
      </c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 t="s">
        <v>25</v>
      </c>
      <c r="B57" s="176"/>
      <c r="C57" s="189" t="s">
        <v>224</v>
      </c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/>
      <c r="B81" s="231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/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/>
      <c r="B82" s="233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255" t="s">
        <v>88</v>
      </c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7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201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" name="Plage2_2_1_1_1_1"/>
    <protectedRange password="EC6D" sqref="C50:C51" name="Plage2_2_3_1_1_2"/>
    <protectedRange password="EC6D" sqref="C46" name="Plage2_2_2_1_2_1_2_1_1_1_1"/>
    <protectedRange password="EC6D" sqref="C49 C45" name="Plage2_2_1_1_1_1_1_1_1"/>
    <protectedRange password="EC6D" sqref="C47" name="Plage2_2_2_2_1_2_1"/>
    <protectedRange password="EC6D" sqref="C48" name="Plage2_2_2_1_2_1_2_1_1_1"/>
  </protectedRanges>
  <mergeCells count="374"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419" priority="18" operator="containsText" text="Erreur">
      <formula>NOT(ISERROR(SEARCH("Erreur",A17)))</formula>
    </cfRule>
    <cfRule type="containsText" dxfId="418" priority="19" operator="containsText" text="Erreur">
      <formula>NOT(ISERROR(SEARCH("Erreur",A17)))</formula>
    </cfRule>
    <cfRule type="containsText" dxfId="417" priority="20" operator="containsText" text="Erreur">
      <formula>NOT(ISERROR(SEARCH("Erreur",A17)))</formula>
    </cfRule>
    <cfRule type="cellIs" dxfId="416" priority="21" operator="lessThan">
      <formula>0</formula>
    </cfRule>
  </conditionalFormatting>
  <conditionalFormatting sqref="R11">
    <cfRule type="containsText" dxfId="415" priority="17" operator="containsText" text="Erreur">
      <formula>NOT(ISERROR(SEARCH("Erreur",R11)))</formula>
    </cfRule>
  </conditionalFormatting>
  <conditionalFormatting sqref="H24:L24">
    <cfRule type="containsText" dxfId="414" priority="16" operator="containsText" text="Erreur">
      <formula>NOT(ISERROR(SEARCH("Erreur",H24)))</formula>
    </cfRule>
  </conditionalFormatting>
  <conditionalFormatting sqref="L29:N30 L32:N36">
    <cfRule type="cellIs" dxfId="413" priority="15" operator="equal">
      <formula>"Erreur"</formula>
    </cfRule>
  </conditionalFormatting>
  <conditionalFormatting sqref="M10 M11:O13">
    <cfRule type="cellIs" dxfId="412" priority="13" operator="equal">
      <formula>"-"</formula>
    </cfRule>
    <cfRule type="cellIs" dxfId="411" priority="14" operator="equal">
      <formula>"Erreur"</formula>
    </cfRule>
  </conditionalFormatting>
  <conditionalFormatting sqref="A17:D17 L25:O25 G17:H17 L29:N30 L32:N36">
    <cfRule type="cellIs" dxfId="410" priority="12" operator="equal">
      <formula>"-"</formula>
    </cfRule>
  </conditionalFormatting>
  <conditionalFormatting sqref="E17:F17">
    <cfRule type="cellIs" dxfId="409" priority="7" operator="equal">
      <formula>"-"</formula>
    </cfRule>
    <cfRule type="containsText" dxfId="408" priority="8" operator="containsText" text="Erreur">
      <formula>NOT(ISERROR(SEARCH("Erreur",E17)))</formula>
    </cfRule>
    <cfRule type="containsText" dxfId="407" priority="9" operator="containsText" text="Erreur">
      <formula>NOT(ISERROR(SEARCH("Erreur",E17)))</formula>
    </cfRule>
    <cfRule type="containsText" dxfId="406" priority="10" operator="containsText" text="Erreur">
      <formula>NOT(ISERROR(SEARCH("Erreur",E17)))</formula>
    </cfRule>
    <cfRule type="cellIs" dxfId="405" priority="11" operator="lessThan">
      <formula>0</formula>
    </cfRule>
  </conditionalFormatting>
  <conditionalFormatting sqref="D24:O24">
    <cfRule type="cellIs" dxfId="404" priority="5" operator="equal">
      <formula>"-"</formula>
    </cfRule>
    <cfRule type="containsText" dxfId="403" priority="6" operator="containsText" text="Erreur">
      <formula>NOT(ISERROR(SEARCH("Erreur",D24)))</formula>
    </cfRule>
  </conditionalFormatting>
  <conditionalFormatting sqref="L39:N42">
    <cfRule type="cellIs" dxfId="402" priority="3" operator="equal">
      <formula>"Erreur"</formula>
    </cfRule>
    <cfRule type="cellIs" dxfId="401" priority="4" operator="equal">
      <formula>"-"</formula>
    </cfRule>
  </conditionalFormatting>
  <conditionalFormatting sqref="D24:G24">
    <cfRule type="cellIs" dxfId="400" priority="1" operator="equal">
      <formula>"-"</formula>
    </cfRule>
    <cfRule type="containsText" dxfId="399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204"/>
  <sheetViews>
    <sheetView topLeftCell="A37" zoomScale="120" zoomScaleNormal="120" workbookViewId="0">
      <selection activeCell="R11" sqref="R11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226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5</v>
      </c>
      <c r="E3" s="38"/>
      <c r="F3" s="38"/>
      <c r="G3" s="37" t="s">
        <v>18</v>
      </c>
      <c r="H3" s="38"/>
      <c r="I3" s="38"/>
      <c r="J3" s="37" t="s">
        <v>5</v>
      </c>
      <c r="K3" s="38"/>
      <c r="L3" s="38"/>
      <c r="M3" s="37" t="s">
        <v>5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27</v>
      </c>
      <c r="E4" s="38"/>
      <c r="F4" s="38"/>
      <c r="G4" s="38" t="s">
        <v>10</v>
      </c>
      <c r="H4" s="38"/>
      <c r="I4" s="38"/>
      <c r="J4" s="38" t="s">
        <v>8</v>
      </c>
      <c r="K4" s="38"/>
      <c r="L4" s="38"/>
      <c r="M4" s="38" t="s">
        <v>8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19</v>
      </c>
      <c r="E5" s="38"/>
      <c r="F5" s="38"/>
      <c r="G5" s="38" t="s">
        <v>13</v>
      </c>
      <c r="H5" s="38"/>
      <c r="I5" s="38"/>
      <c r="J5" s="38" t="s">
        <v>93</v>
      </c>
      <c r="K5" s="38"/>
      <c r="L5" s="38"/>
      <c r="M5" s="38" t="s">
        <v>93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 t="s">
        <v>28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427725</v>
      </c>
      <c r="D10" s="48"/>
      <c r="E10" s="47">
        <v>428259</v>
      </c>
      <c r="F10" s="49"/>
      <c r="G10" s="47">
        <v>429164</v>
      </c>
      <c r="H10" s="48"/>
      <c r="I10" s="47">
        <v>429549</v>
      </c>
      <c r="J10" s="48"/>
      <c r="K10" s="47">
        <v>429733</v>
      </c>
      <c r="L10" s="48"/>
      <c r="M10" s="50">
        <f>IF(OR(K10=0,C10=0),"-",IF((K10-C10)&lt;0,"Erreur",(K10-C10)))</f>
        <v>2008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228849</v>
      </c>
      <c r="D11" s="63"/>
      <c r="E11" s="64"/>
      <c r="F11" s="64"/>
      <c r="G11" s="65"/>
      <c r="H11" s="66"/>
      <c r="I11" s="64"/>
      <c r="J11" s="64"/>
      <c r="K11" s="62">
        <v>228849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66753</v>
      </c>
      <c r="D12" s="63"/>
      <c r="E12" s="64"/>
      <c r="F12" s="64"/>
      <c r="G12" s="65"/>
      <c r="H12" s="66"/>
      <c r="I12" s="64"/>
      <c r="J12" s="64"/>
      <c r="K12" s="62">
        <v>67444</v>
      </c>
      <c r="L12" s="63"/>
      <c r="M12" s="57">
        <f>IF(OR(K12=0,C12=0),"-",IF((K12-C12)&lt;0,"Erreur",(K12-C12)))</f>
        <v>691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39038351</v>
      </c>
      <c r="D13" s="85"/>
      <c r="E13" s="84">
        <v>39041090</v>
      </c>
      <c r="F13" s="85"/>
      <c r="G13" s="84">
        <v>39045620</v>
      </c>
      <c r="H13" s="85"/>
      <c r="I13" s="84">
        <v>39047310</v>
      </c>
      <c r="J13" s="85"/>
      <c r="K13" s="84">
        <v>39048161</v>
      </c>
      <c r="L13" s="85"/>
      <c r="M13" s="57">
        <f>IF(OR(K13=0,C13=0),"-",IF((K13-C13)&lt;0,"Erreur",(K13-C13)))</f>
        <v>9810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230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231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905</v>
      </c>
      <c r="B17" s="94"/>
      <c r="C17" s="93">
        <f>IF(OR(I10=0,G10=0),"-",IF((I10-G10)&lt;0,"Erreur",(I10-G10)))</f>
        <v>385</v>
      </c>
      <c r="D17" s="94"/>
      <c r="E17" s="95">
        <f>IF(OR(I10=0,K10=0,C10=0,E10=0),"-",IF(((K10-I10)+(E10-C10))&lt;0,"Erreur",((K10-I10)+(E10-C10))))</f>
        <v>718</v>
      </c>
      <c r="F17" s="96"/>
      <c r="G17" s="97">
        <f>SUM(A17:F17)</f>
        <v>2008</v>
      </c>
      <c r="H17" s="98"/>
      <c r="I17" s="3"/>
      <c r="J17" s="99" t="s">
        <v>44</v>
      </c>
      <c r="K17" s="100"/>
      <c r="L17" s="101" t="s">
        <v>225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113 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04h12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39038351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39048161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627364.5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9810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9810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2008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9.81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1998.19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9.81</v>
      </c>
    </row>
    <row r="29" spans="1:23" ht="28.35" customHeight="1" thickTop="1" thickBot="1">
      <c r="B29" s="131" t="s">
        <v>63</v>
      </c>
      <c r="C29" s="132"/>
      <c r="D29" s="133">
        <v>741429217</v>
      </c>
      <c r="E29" s="133"/>
      <c r="F29" s="133"/>
      <c r="G29" s="133"/>
      <c r="H29" s="133">
        <v>742056581.5</v>
      </c>
      <c r="I29" s="133"/>
      <c r="J29" s="133"/>
      <c r="K29" s="133"/>
      <c r="L29" s="134">
        <f>IF(OR(H29=0,D29=0),"-",IF((H29-D29)&lt;0,"Erreur",(H29-D29)))</f>
        <v>627364.5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2332</v>
      </c>
      <c r="E33" s="159"/>
      <c r="F33" s="159"/>
      <c r="G33" s="159"/>
      <c r="H33" s="159">
        <v>2332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2259</v>
      </c>
      <c r="E35" s="159"/>
      <c r="F35" s="159"/>
      <c r="G35" s="159"/>
      <c r="H35" s="159">
        <v>2259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27877.3</v>
      </c>
      <c r="E39" s="167"/>
      <c r="F39" s="167"/>
      <c r="G39" s="168"/>
      <c r="H39" s="166">
        <v>27901.3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27845.4</v>
      </c>
      <c r="E41" s="159"/>
      <c r="F41" s="159"/>
      <c r="G41" s="159"/>
      <c r="H41" s="159">
        <v>27869.4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224</v>
      </c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6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227</v>
      </c>
      <c r="B46" s="188"/>
      <c r="C46" s="189" t="s">
        <v>228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1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 t="s">
        <v>25</v>
      </c>
      <c r="B47" s="181"/>
      <c r="C47" s="184" t="s">
        <v>232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6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/>
      <c r="B48" s="179"/>
      <c r="C48" s="189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1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/>
      <c r="B49" s="183"/>
      <c r="C49" s="184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/>
      <c r="B50" s="181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/>
      <c r="B51" s="181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/>
      <c r="B52" s="176"/>
      <c r="C52" s="184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189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/>
      <c r="B55" s="176"/>
      <c r="C55" s="17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/>
      <c r="B56" s="181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9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/>
      <c r="B81" s="231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/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/>
      <c r="B82" s="233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255" t="s">
        <v>88</v>
      </c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7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201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" name="Plage2_2_1_1_1_1"/>
    <protectedRange password="EC6D" sqref="C50:C51" name="Plage2_2_3_1_1_2"/>
    <protectedRange password="EC6D" sqref="C49 C45" name="Plage2_2_1_1_1_1_1_1_1"/>
    <protectedRange password="EC6D" sqref="C47" name="Plage2_2_2_2_1_2_1"/>
    <protectedRange password="EC6D" sqref="C48" name="Plage2_2_2_1_2_1_2_1_1_1"/>
    <protectedRange password="EC6D" sqref="C46" name="Plage2_2_2_1_2_1_2_1_1_1_1_1"/>
  </protectedRanges>
  <mergeCells count="374"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</mergeCells>
  <conditionalFormatting sqref="A17 C17 E17:F17">
    <cfRule type="containsText" dxfId="398" priority="18" operator="containsText" text="Erreur">
      <formula>NOT(ISERROR(SEARCH("Erreur",A17)))</formula>
    </cfRule>
    <cfRule type="containsText" dxfId="397" priority="19" operator="containsText" text="Erreur">
      <formula>NOT(ISERROR(SEARCH("Erreur",A17)))</formula>
    </cfRule>
    <cfRule type="containsText" dxfId="396" priority="20" operator="containsText" text="Erreur">
      <formula>NOT(ISERROR(SEARCH("Erreur",A17)))</formula>
    </cfRule>
    <cfRule type="cellIs" dxfId="395" priority="21" operator="lessThan">
      <formula>0</formula>
    </cfRule>
  </conditionalFormatting>
  <conditionalFormatting sqref="R11">
    <cfRule type="containsText" dxfId="394" priority="17" operator="containsText" text="Erreur">
      <formula>NOT(ISERROR(SEARCH("Erreur",R11)))</formula>
    </cfRule>
  </conditionalFormatting>
  <conditionalFormatting sqref="H24:L24">
    <cfRule type="containsText" dxfId="393" priority="16" operator="containsText" text="Erreur">
      <formula>NOT(ISERROR(SEARCH("Erreur",H24)))</formula>
    </cfRule>
  </conditionalFormatting>
  <conditionalFormatting sqref="L29:N30 L32:N36">
    <cfRule type="cellIs" dxfId="392" priority="15" operator="equal">
      <formula>"Erreur"</formula>
    </cfRule>
  </conditionalFormatting>
  <conditionalFormatting sqref="M10 M11:O13">
    <cfRule type="cellIs" dxfId="391" priority="13" operator="equal">
      <formula>"-"</formula>
    </cfRule>
    <cfRule type="cellIs" dxfId="390" priority="14" operator="equal">
      <formula>"Erreur"</formula>
    </cfRule>
  </conditionalFormatting>
  <conditionalFormatting sqref="A17:D17 L25:O25 G17:H17 L29:N30 L32:N36">
    <cfRule type="cellIs" dxfId="389" priority="12" operator="equal">
      <formula>"-"</formula>
    </cfRule>
  </conditionalFormatting>
  <conditionalFormatting sqref="E17:F17">
    <cfRule type="cellIs" dxfId="388" priority="7" operator="equal">
      <formula>"-"</formula>
    </cfRule>
    <cfRule type="containsText" dxfId="387" priority="8" operator="containsText" text="Erreur">
      <formula>NOT(ISERROR(SEARCH("Erreur",E17)))</formula>
    </cfRule>
    <cfRule type="containsText" dxfId="386" priority="9" operator="containsText" text="Erreur">
      <formula>NOT(ISERROR(SEARCH("Erreur",E17)))</formula>
    </cfRule>
    <cfRule type="containsText" dxfId="385" priority="10" operator="containsText" text="Erreur">
      <formula>NOT(ISERROR(SEARCH("Erreur",E17)))</formula>
    </cfRule>
    <cfRule type="cellIs" dxfId="384" priority="11" operator="lessThan">
      <formula>0</formula>
    </cfRule>
  </conditionalFormatting>
  <conditionalFormatting sqref="D24:O24">
    <cfRule type="cellIs" dxfId="383" priority="5" operator="equal">
      <formula>"-"</formula>
    </cfRule>
    <cfRule type="containsText" dxfId="382" priority="6" operator="containsText" text="Erreur">
      <formula>NOT(ISERROR(SEARCH("Erreur",D24)))</formula>
    </cfRule>
  </conditionalFormatting>
  <conditionalFormatting sqref="L39:N42">
    <cfRule type="cellIs" dxfId="381" priority="3" operator="equal">
      <formula>"Erreur"</formula>
    </cfRule>
    <cfRule type="cellIs" dxfId="380" priority="4" operator="equal">
      <formula>"-"</formula>
    </cfRule>
  </conditionalFormatting>
  <conditionalFormatting sqref="D24:G24">
    <cfRule type="cellIs" dxfId="379" priority="1" operator="equal">
      <formula>"-"</formula>
    </cfRule>
    <cfRule type="containsText" dxfId="378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204"/>
  <sheetViews>
    <sheetView topLeftCell="A37" zoomScale="120" zoomScaleNormal="120" workbookViewId="0">
      <selection activeCell="K12" sqref="K12:L12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229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5</v>
      </c>
      <c r="E3" s="38"/>
      <c r="F3" s="38"/>
      <c r="G3" s="37" t="s">
        <v>18</v>
      </c>
      <c r="H3" s="38"/>
      <c r="I3" s="38"/>
      <c r="J3" s="37" t="s">
        <v>6</v>
      </c>
      <c r="K3" s="38"/>
      <c r="L3" s="38"/>
      <c r="M3" s="37" t="s">
        <v>5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8</v>
      </c>
      <c r="E4" s="38"/>
      <c r="F4" s="38"/>
      <c r="G4" s="38" t="s">
        <v>9</v>
      </c>
      <c r="H4" s="38"/>
      <c r="I4" s="38"/>
      <c r="J4" s="38" t="s">
        <v>10</v>
      </c>
      <c r="K4" s="38"/>
      <c r="L4" s="38"/>
      <c r="M4" s="38" t="s">
        <v>8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93</v>
      </c>
      <c r="E5" s="38"/>
      <c r="F5" s="38"/>
      <c r="G5" s="38" t="s">
        <v>14</v>
      </c>
      <c r="H5" s="38"/>
      <c r="I5" s="38"/>
      <c r="J5" s="38" t="s">
        <v>13</v>
      </c>
      <c r="K5" s="38"/>
      <c r="L5" s="38"/>
      <c r="M5" s="38" t="s">
        <v>93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429733</v>
      </c>
      <c r="D10" s="48"/>
      <c r="E10" s="47">
        <v>430300</v>
      </c>
      <c r="F10" s="49"/>
      <c r="G10" s="47">
        <v>431258</v>
      </c>
      <c r="H10" s="48"/>
      <c r="I10" s="47">
        <v>431643</v>
      </c>
      <c r="J10" s="48"/>
      <c r="K10" s="47">
        <v>431810</v>
      </c>
      <c r="L10" s="48"/>
      <c r="M10" s="50">
        <f>IF(OR(K10=0,C10=0),"-",IF((K10-C10)&lt;0,"Erreur",(K10-C10)))</f>
        <v>2077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228849</v>
      </c>
      <c r="D11" s="63"/>
      <c r="E11" s="64"/>
      <c r="F11" s="64"/>
      <c r="G11" s="65"/>
      <c r="H11" s="66"/>
      <c r="I11" s="64"/>
      <c r="J11" s="64"/>
      <c r="K11" s="62">
        <v>228849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67444</v>
      </c>
      <c r="D12" s="63"/>
      <c r="E12" s="64"/>
      <c r="F12" s="64"/>
      <c r="G12" s="65"/>
      <c r="H12" s="66"/>
      <c r="I12" s="64"/>
      <c r="J12" s="64"/>
      <c r="K12" s="62">
        <v>68186</v>
      </c>
      <c r="L12" s="63"/>
      <c r="M12" s="57">
        <f>IF(OR(K12=0,C12=0),"-",IF((K12-C12)&lt;0,"Erreur",(K12-C12)))</f>
        <v>742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39048161</v>
      </c>
      <c r="D13" s="85"/>
      <c r="E13" s="84">
        <v>39050985</v>
      </c>
      <c r="F13" s="85"/>
      <c r="G13" s="84">
        <v>39055505</v>
      </c>
      <c r="H13" s="85"/>
      <c r="I13" s="84">
        <v>39057136</v>
      </c>
      <c r="J13" s="85"/>
      <c r="K13" s="84">
        <v>39057988</v>
      </c>
      <c r="L13" s="85"/>
      <c r="M13" s="57">
        <f>IF(OR(K13=0,C13=0),"-",IF((K13-C13)&lt;0,"Erreur",(K13-C13)))</f>
        <v>9827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235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236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958</v>
      </c>
      <c r="B17" s="94"/>
      <c r="C17" s="93">
        <f>IF(OR(I10=0,G10=0),"-",IF((I10-G10)&lt;0,"Erreur",(I10-G10)))</f>
        <v>385</v>
      </c>
      <c r="D17" s="94"/>
      <c r="E17" s="95">
        <f>IF(OR(I10=0,K10=0,C10=0,E10=0),"-",IF(((K10-I10)+(E10-C10))&lt;0,"Erreur",((K10-I10)+(E10-C10))))</f>
        <v>734</v>
      </c>
      <c r="F17" s="96"/>
      <c r="G17" s="97">
        <f>SUM(A17:F17)</f>
        <v>2077</v>
      </c>
      <c r="H17" s="98"/>
      <c r="I17" s="3"/>
      <c r="J17" s="99" t="s">
        <v>44</v>
      </c>
      <c r="K17" s="100"/>
      <c r="L17" s="101" t="s">
        <v>227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115MW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07h21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39048161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39057988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641142.89999997616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9827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9827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2077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9.827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2067.1729999999998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9.827</v>
      </c>
    </row>
    <row r="29" spans="1:23" ht="28.35" customHeight="1" thickTop="1" thickBot="1">
      <c r="B29" s="131" t="s">
        <v>63</v>
      </c>
      <c r="C29" s="132"/>
      <c r="D29" s="133">
        <v>742056581.5</v>
      </c>
      <c r="E29" s="133"/>
      <c r="F29" s="133"/>
      <c r="G29" s="133"/>
      <c r="H29" s="133">
        <v>742697724.39999998</v>
      </c>
      <c r="I29" s="133"/>
      <c r="J29" s="133"/>
      <c r="K29" s="133"/>
      <c r="L29" s="134">
        <f>IF(OR(H29=0,D29=0),"-",IF((H29-D29)&lt;0,"Erreur",(H29-D29)))</f>
        <v>641142.89999997616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2332</v>
      </c>
      <c r="E33" s="159"/>
      <c r="F33" s="159"/>
      <c r="G33" s="159"/>
      <c r="H33" s="159">
        <v>2332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2259</v>
      </c>
      <c r="E35" s="159"/>
      <c r="F35" s="159"/>
      <c r="G35" s="159"/>
      <c r="H35" s="159">
        <v>2259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27901.3</v>
      </c>
      <c r="E39" s="167"/>
      <c r="F39" s="167"/>
      <c r="G39" s="168"/>
      <c r="H39" s="166">
        <v>27925.3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27869.4</v>
      </c>
      <c r="E41" s="159"/>
      <c r="F41" s="159"/>
      <c r="G41" s="159"/>
      <c r="H41" s="159">
        <v>27893.4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233</v>
      </c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60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25</v>
      </c>
      <c r="B46" s="188"/>
      <c r="C46" s="184" t="s">
        <v>237</v>
      </c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60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/>
      <c r="B47" s="181"/>
      <c r="C47" s="184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6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/>
      <c r="B48" s="179"/>
      <c r="C48" s="189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1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/>
      <c r="B49" s="183"/>
      <c r="C49" s="184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/>
      <c r="B50" s="181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/>
      <c r="B51" s="181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/>
      <c r="B52" s="176"/>
      <c r="C52" s="184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189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/>
      <c r="B55" s="176"/>
      <c r="C55" s="17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/>
      <c r="B56" s="181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9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/>
      <c r="B81" s="231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/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/>
      <c r="B82" s="233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255" t="s">
        <v>88</v>
      </c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7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201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" name="Plage2_2_1_1_1_1"/>
    <protectedRange password="EC6D" sqref="C50:C51" name="Plage2_2_3_1_1_2"/>
    <protectedRange password="EC6D" sqref="C49 C45:C46" name="Plage2_2_1_1_1_1_1_1_1"/>
    <protectedRange password="EC6D" sqref="C47" name="Plage2_2_2_2_1_2_1"/>
    <protectedRange password="EC6D" sqref="C48" name="Plage2_2_2_1_2_1_2_1_1_1"/>
  </protectedRanges>
  <mergeCells count="374"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</mergeCells>
  <conditionalFormatting sqref="A17 C17 E17:F17">
    <cfRule type="containsText" dxfId="377" priority="18" operator="containsText" text="Erreur">
      <formula>NOT(ISERROR(SEARCH("Erreur",A17)))</formula>
    </cfRule>
    <cfRule type="containsText" dxfId="376" priority="19" operator="containsText" text="Erreur">
      <formula>NOT(ISERROR(SEARCH("Erreur",A17)))</formula>
    </cfRule>
    <cfRule type="containsText" dxfId="375" priority="20" operator="containsText" text="Erreur">
      <formula>NOT(ISERROR(SEARCH("Erreur",A17)))</formula>
    </cfRule>
    <cfRule type="cellIs" dxfId="374" priority="21" operator="lessThan">
      <formula>0</formula>
    </cfRule>
  </conditionalFormatting>
  <conditionalFormatting sqref="R11">
    <cfRule type="containsText" dxfId="373" priority="17" operator="containsText" text="Erreur">
      <formula>NOT(ISERROR(SEARCH("Erreur",R11)))</formula>
    </cfRule>
  </conditionalFormatting>
  <conditionalFormatting sqref="H24:L24">
    <cfRule type="containsText" dxfId="372" priority="16" operator="containsText" text="Erreur">
      <formula>NOT(ISERROR(SEARCH("Erreur",H24)))</formula>
    </cfRule>
  </conditionalFormatting>
  <conditionalFormatting sqref="L29:N30 L32:N36">
    <cfRule type="cellIs" dxfId="371" priority="15" operator="equal">
      <formula>"Erreur"</formula>
    </cfRule>
  </conditionalFormatting>
  <conditionalFormatting sqref="M10 M11:O13">
    <cfRule type="cellIs" dxfId="370" priority="13" operator="equal">
      <formula>"-"</formula>
    </cfRule>
    <cfRule type="cellIs" dxfId="369" priority="14" operator="equal">
      <formula>"Erreur"</formula>
    </cfRule>
  </conditionalFormatting>
  <conditionalFormatting sqref="A17:D17 L25:O25 G17:H17 L29:N30 L32:N36">
    <cfRule type="cellIs" dxfId="368" priority="12" operator="equal">
      <formula>"-"</formula>
    </cfRule>
  </conditionalFormatting>
  <conditionalFormatting sqref="E17:F17">
    <cfRule type="cellIs" dxfId="367" priority="7" operator="equal">
      <formula>"-"</formula>
    </cfRule>
    <cfRule type="containsText" dxfId="366" priority="8" operator="containsText" text="Erreur">
      <formula>NOT(ISERROR(SEARCH("Erreur",E17)))</formula>
    </cfRule>
    <cfRule type="containsText" dxfId="365" priority="9" operator="containsText" text="Erreur">
      <formula>NOT(ISERROR(SEARCH("Erreur",E17)))</formula>
    </cfRule>
    <cfRule type="containsText" dxfId="364" priority="10" operator="containsText" text="Erreur">
      <formula>NOT(ISERROR(SEARCH("Erreur",E17)))</formula>
    </cfRule>
    <cfRule type="cellIs" dxfId="363" priority="11" operator="lessThan">
      <formula>0</formula>
    </cfRule>
  </conditionalFormatting>
  <conditionalFormatting sqref="D24:O24">
    <cfRule type="cellIs" dxfId="362" priority="5" operator="equal">
      <formula>"-"</formula>
    </cfRule>
    <cfRule type="containsText" dxfId="361" priority="6" operator="containsText" text="Erreur">
      <formula>NOT(ISERROR(SEARCH("Erreur",D24)))</formula>
    </cfRule>
  </conditionalFormatting>
  <conditionalFormatting sqref="L39:N42">
    <cfRule type="cellIs" dxfId="360" priority="3" operator="equal">
      <formula>"Erreur"</formula>
    </cfRule>
    <cfRule type="cellIs" dxfId="359" priority="4" operator="equal">
      <formula>"-"</formula>
    </cfRule>
  </conditionalFormatting>
  <conditionalFormatting sqref="D24:G24">
    <cfRule type="cellIs" dxfId="358" priority="1" operator="equal">
      <formula>"-"</formula>
    </cfRule>
    <cfRule type="containsText" dxfId="357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04"/>
  <sheetViews>
    <sheetView topLeftCell="A37" zoomScale="120" zoomScaleNormal="120" workbookViewId="0">
      <selection activeCell="H41" sqref="H41:K41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234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5</v>
      </c>
      <c r="E3" s="38"/>
      <c r="F3" s="38"/>
      <c r="G3" s="37" t="s">
        <v>6</v>
      </c>
      <c r="H3" s="38"/>
      <c r="I3" s="38"/>
      <c r="J3" s="37" t="s">
        <v>18</v>
      </c>
      <c r="K3" s="38"/>
      <c r="L3" s="38"/>
      <c r="M3" s="37" t="s">
        <v>18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8</v>
      </c>
      <c r="E4" s="38"/>
      <c r="F4" s="38"/>
      <c r="G4" s="38" t="s">
        <v>10</v>
      </c>
      <c r="H4" s="38"/>
      <c r="I4" s="38"/>
      <c r="J4" s="38" t="s">
        <v>27</v>
      </c>
      <c r="K4" s="38"/>
      <c r="L4" s="38"/>
      <c r="M4" s="38" t="s">
        <v>9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93</v>
      </c>
      <c r="E5" s="38"/>
      <c r="F5" s="38"/>
      <c r="G5" s="38" t="s">
        <v>13</v>
      </c>
      <c r="H5" s="38"/>
      <c r="I5" s="38"/>
      <c r="J5" s="38" t="s">
        <v>19</v>
      </c>
      <c r="K5" s="38"/>
      <c r="L5" s="38"/>
      <c r="M5" s="38" t="s">
        <v>19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 t="s">
        <v>28</v>
      </c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431810</v>
      </c>
      <c r="D10" s="48"/>
      <c r="E10" s="47">
        <v>432312</v>
      </c>
      <c r="F10" s="49"/>
      <c r="G10" s="47">
        <v>433363</v>
      </c>
      <c r="H10" s="48"/>
      <c r="I10" s="47">
        <v>433759</v>
      </c>
      <c r="J10" s="48"/>
      <c r="K10" s="47">
        <v>433880</v>
      </c>
      <c r="L10" s="48"/>
      <c r="M10" s="50">
        <f>IF(OR(K10=0,C10=0),"-",IF((K10-C10)&lt;0,"Erreur",(K10-C10)))</f>
        <v>2070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228849</v>
      </c>
      <c r="D11" s="63"/>
      <c r="E11" s="64"/>
      <c r="F11" s="64"/>
      <c r="G11" s="65"/>
      <c r="H11" s="66"/>
      <c r="I11" s="64"/>
      <c r="J11" s="64"/>
      <c r="K11" s="62">
        <v>228849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68186</v>
      </c>
      <c r="D12" s="63"/>
      <c r="E12" s="64"/>
      <c r="F12" s="64"/>
      <c r="G12" s="65"/>
      <c r="H12" s="66"/>
      <c r="I12" s="64"/>
      <c r="J12" s="64"/>
      <c r="K12" s="62">
        <v>68807</v>
      </c>
      <c r="L12" s="63"/>
      <c r="M12" s="57">
        <f>IF(OR(K12=0,C12=0),"-",IF((K12-C12)&lt;0,"Erreur",(K12-C12)))</f>
        <v>621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39057988</v>
      </c>
      <c r="D13" s="85"/>
      <c r="E13" s="84">
        <v>39060846</v>
      </c>
      <c r="F13" s="85"/>
      <c r="G13" s="84">
        <v>39065289</v>
      </c>
      <c r="H13" s="85"/>
      <c r="I13" s="84">
        <v>39066990</v>
      </c>
      <c r="J13" s="85"/>
      <c r="K13" s="84">
        <v>39067574</v>
      </c>
      <c r="L13" s="85"/>
      <c r="M13" s="57">
        <f>IF(OR(K13=0,C13=0),"-",IF((K13-C13)&lt;0,"Erreur",(K13-C13)))</f>
        <v>9586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245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246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1051</v>
      </c>
      <c r="B17" s="94"/>
      <c r="C17" s="93">
        <f>IF(OR(I10=0,G10=0),"-",IF((I10-G10)&lt;0,"Erreur",(I10-G10)))</f>
        <v>396</v>
      </c>
      <c r="D17" s="94"/>
      <c r="E17" s="95">
        <f>IF(OR(I10=0,K10=0,C10=0,E10=0),"-",IF(((K10-I10)+(E10-C10))&lt;0,"Erreur",((K10-I10)+(E10-C10))))</f>
        <v>623</v>
      </c>
      <c r="F17" s="96"/>
      <c r="G17" s="97">
        <f>SUM(A17:F17)</f>
        <v>2070</v>
      </c>
      <c r="H17" s="98"/>
      <c r="I17" s="3"/>
      <c r="J17" s="99" t="s">
        <v>44</v>
      </c>
      <c r="K17" s="100"/>
      <c r="L17" s="101" t="s">
        <v>247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117MW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10H19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39057988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39067574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642730.80000007153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9586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9586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2070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9.5860000000000003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2060.4140000000002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9.5860000000000003</v>
      </c>
    </row>
    <row r="29" spans="1:23" ht="28.35" customHeight="1" thickTop="1" thickBot="1">
      <c r="B29" s="131" t="s">
        <v>63</v>
      </c>
      <c r="C29" s="132"/>
      <c r="D29" s="133">
        <v>742697724.39999998</v>
      </c>
      <c r="E29" s="133"/>
      <c r="F29" s="133"/>
      <c r="G29" s="133"/>
      <c r="H29" s="133">
        <v>743340455.20000005</v>
      </c>
      <c r="I29" s="133"/>
      <c r="J29" s="133"/>
      <c r="K29" s="133"/>
      <c r="L29" s="134">
        <f>IF(OR(H29=0,D29=0),"-",IF((H29-D29)&lt;0,"Erreur",(H29-D29)))</f>
        <v>642730.80000007153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2332</v>
      </c>
      <c r="E33" s="159"/>
      <c r="F33" s="159"/>
      <c r="G33" s="159"/>
      <c r="H33" s="159">
        <v>2332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2259</v>
      </c>
      <c r="E35" s="159"/>
      <c r="F35" s="159"/>
      <c r="G35" s="159"/>
      <c r="H35" s="159">
        <v>2259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27925.3</v>
      </c>
      <c r="E39" s="167"/>
      <c r="F39" s="167"/>
      <c r="G39" s="168"/>
      <c r="H39" s="166">
        <v>27949.3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27893.4</v>
      </c>
      <c r="E41" s="159"/>
      <c r="F41" s="159"/>
      <c r="G41" s="159"/>
      <c r="H41" s="159">
        <v>27917.4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237</v>
      </c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60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142</v>
      </c>
      <c r="B46" s="188"/>
      <c r="C46" s="184" t="s">
        <v>248</v>
      </c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60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/>
      <c r="B47" s="181"/>
      <c r="C47" s="184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6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/>
      <c r="B48" s="179"/>
      <c r="C48" s="189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1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/>
      <c r="B49" s="183"/>
      <c r="C49" s="184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/>
      <c r="B50" s="181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/>
      <c r="B51" s="181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/>
      <c r="B52" s="176"/>
      <c r="C52" s="184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189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/>
      <c r="B55" s="176"/>
      <c r="C55" s="17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/>
      <c r="B56" s="181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9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 t="s">
        <v>238</v>
      </c>
      <c r="B81" s="231"/>
      <c r="C81" s="232" t="s">
        <v>239</v>
      </c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 t="s">
        <v>146</v>
      </c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 t="s">
        <v>240</v>
      </c>
      <c r="B82" s="233"/>
      <c r="C82" s="232" t="s">
        <v>241</v>
      </c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 t="s">
        <v>146</v>
      </c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 t="s">
        <v>242</v>
      </c>
      <c r="B83" s="233"/>
      <c r="C83" s="232" t="s">
        <v>243</v>
      </c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 t="s">
        <v>146</v>
      </c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255" t="s">
        <v>88</v>
      </c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7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201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" name="Plage2_2_1_1_1_1"/>
    <protectedRange password="EC6D" sqref="C50:C51" name="Plage2_2_3_1_1_2"/>
    <protectedRange password="EC6D" sqref="C49 C45:C46" name="Plage2_2_1_1_1_1_1_1_1"/>
    <protectedRange password="EC6D" sqref="C47" name="Plage2_2_2_2_1_2_1"/>
    <protectedRange password="EC6D" sqref="C48" name="Plage2_2_2_1_2_1_2_1_1_1"/>
  </protectedRanges>
  <mergeCells count="374"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356" priority="18" operator="containsText" text="Erreur">
      <formula>NOT(ISERROR(SEARCH("Erreur",A17)))</formula>
    </cfRule>
    <cfRule type="containsText" dxfId="355" priority="19" operator="containsText" text="Erreur">
      <formula>NOT(ISERROR(SEARCH("Erreur",A17)))</formula>
    </cfRule>
    <cfRule type="containsText" dxfId="354" priority="20" operator="containsText" text="Erreur">
      <formula>NOT(ISERROR(SEARCH("Erreur",A17)))</formula>
    </cfRule>
    <cfRule type="cellIs" dxfId="353" priority="21" operator="lessThan">
      <formula>0</formula>
    </cfRule>
  </conditionalFormatting>
  <conditionalFormatting sqref="R11">
    <cfRule type="containsText" dxfId="352" priority="17" operator="containsText" text="Erreur">
      <formula>NOT(ISERROR(SEARCH("Erreur",R11)))</formula>
    </cfRule>
  </conditionalFormatting>
  <conditionalFormatting sqref="H24:L24">
    <cfRule type="containsText" dxfId="351" priority="16" operator="containsText" text="Erreur">
      <formula>NOT(ISERROR(SEARCH("Erreur",H24)))</formula>
    </cfRule>
  </conditionalFormatting>
  <conditionalFormatting sqref="L29:N30 L32:N36">
    <cfRule type="cellIs" dxfId="350" priority="15" operator="equal">
      <formula>"Erreur"</formula>
    </cfRule>
  </conditionalFormatting>
  <conditionalFormatting sqref="M10 M11:O13">
    <cfRule type="cellIs" dxfId="349" priority="13" operator="equal">
      <formula>"-"</formula>
    </cfRule>
    <cfRule type="cellIs" dxfId="348" priority="14" operator="equal">
      <formula>"Erreur"</formula>
    </cfRule>
  </conditionalFormatting>
  <conditionalFormatting sqref="A17:D17 L25:O25 G17:H17 L29:N30 L32:N36">
    <cfRule type="cellIs" dxfId="347" priority="12" operator="equal">
      <formula>"-"</formula>
    </cfRule>
  </conditionalFormatting>
  <conditionalFormatting sqref="E17:F17">
    <cfRule type="cellIs" dxfId="346" priority="7" operator="equal">
      <formula>"-"</formula>
    </cfRule>
    <cfRule type="containsText" dxfId="345" priority="8" operator="containsText" text="Erreur">
      <formula>NOT(ISERROR(SEARCH("Erreur",E17)))</formula>
    </cfRule>
    <cfRule type="containsText" dxfId="344" priority="9" operator="containsText" text="Erreur">
      <formula>NOT(ISERROR(SEARCH("Erreur",E17)))</formula>
    </cfRule>
    <cfRule type="containsText" dxfId="343" priority="10" operator="containsText" text="Erreur">
      <formula>NOT(ISERROR(SEARCH("Erreur",E17)))</formula>
    </cfRule>
    <cfRule type="cellIs" dxfId="342" priority="11" operator="lessThan">
      <formula>0</formula>
    </cfRule>
  </conditionalFormatting>
  <conditionalFormatting sqref="D24:O24">
    <cfRule type="cellIs" dxfId="341" priority="5" operator="equal">
      <formula>"-"</formula>
    </cfRule>
    <cfRule type="containsText" dxfId="340" priority="6" operator="containsText" text="Erreur">
      <formula>NOT(ISERROR(SEARCH("Erreur",D24)))</formula>
    </cfRule>
  </conditionalFormatting>
  <conditionalFormatting sqref="L39:N42">
    <cfRule type="cellIs" dxfId="339" priority="3" operator="equal">
      <formula>"Erreur"</formula>
    </cfRule>
    <cfRule type="cellIs" dxfId="338" priority="4" operator="equal">
      <formula>"-"</formula>
    </cfRule>
  </conditionalFormatting>
  <conditionalFormatting sqref="D24:G24">
    <cfRule type="cellIs" dxfId="337" priority="1" operator="equal">
      <formula>"-"</formula>
    </cfRule>
    <cfRule type="containsText" dxfId="336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E204"/>
  <sheetViews>
    <sheetView topLeftCell="A13" zoomScale="120" zoomScaleNormal="120" workbookViewId="0">
      <selection activeCell="C46" sqref="C46:O46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244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18</v>
      </c>
      <c r="E3" s="38"/>
      <c r="F3" s="38"/>
      <c r="G3" s="37" t="s">
        <v>6</v>
      </c>
      <c r="H3" s="38"/>
      <c r="I3" s="38"/>
      <c r="J3" s="37" t="s">
        <v>6</v>
      </c>
      <c r="K3" s="38"/>
      <c r="L3" s="38"/>
      <c r="M3" s="37" t="s">
        <v>18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9</v>
      </c>
      <c r="E4" s="38"/>
      <c r="F4" s="38"/>
      <c r="G4" s="38" t="s">
        <v>10</v>
      </c>
      <c r="H4" s="38"/>
      <c r="I4" s="38"/>
      <c r="J4" s="38" t="s">
        <v>10</v>
      </c>
      <c r="K4" s="38"/>
      <c r="L4" s="38"/>
      <c r="M4" s="38" t="s">
        <v>9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19</v>
      </c>
      <c r="E5" s="38"/>
      <c r="F5" s="38"/>
      <c r="G5" s="38" t="s">
        <v>13</v>
      </c>
      <c r="H5" s="38"/>
      <c r="I5" s="38"/>
      <c r="J5" s="38" t="s">
        <v>19</v>
      </c>
      <c r="K5" s="38"/>
      <c r="L5" s="38"/>
      <c r="M5" s="38" t="s">
        <v>14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 t="s">
        <v>28</v>
      </c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433880</v>
      </c>
      <c r="D10" s="48"/>
      <c r="E10" s="47">
        <v>434418</v>
      </c>
      <c r="F10" s="49"/>
      <c r="G10" s="47">
        <v>435385</v>
      </c>
      <c r="H10" s="48"/>
      <c r="I10" s="47">
        <v>435729</v>
      </c>
      <c r="J10" s="48"/>
      <c r="K10" s="47">
        <v>435858</v>
      </c>
      <c r="L10" s="48"/>
      <c r="M10" s="50">
        <f>IF(OR(K10=0,C10=0),"-",IF((K10-C10)&lt;0,"Erreur",(K10-C10)))</f>
        <v>1978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228849</v>
      </c>
      <c r="D11" s="63"/>
      <c r="E11" s="64"/>
      <c r="F11" s="64"/>
      <c r="G11" s="65"/>
      <c r="H11" s="66"/>
      <c r="I11" s="64"/>
      <c r="J11" s="64"/>
      <c r="K11" s="62">
        <v>228849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68807</v>
      </c>
      <c r="D12" s="63"/>
      <c r="E12" s="64"/>
      <c r="F12" s="64"/>
      <c r="G12" s="65"/>
      <c r="H12" s="66"/>
      <c r="I12" s="64"/>
      <c r="J12" s="64"/>
      <c r="K12" s="62">
        <v>69551</v>
      </c>
      <c r="L12" s="63"/>
      <c r="M12" s="57">
        <f>IF(OR(K12=0,C12=0),"-",IF((K12-C12)&lt;0,"Erreur",(K12-C12)))</f>
        <v>744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39067574</v>
      </c>
      <c r="D13" s="85"/>
      <c r="E13" s="84">
        <v>39070470</v>
      </c>
      <c r="F13" s="85"/>
      <c r="G13" s="84">
        <v>39075119</v>
      </c>
      <c r="H13" s="85"/>
      <c r="I13" s="84">
        <v>39076825</v>
      </c>
      <c r="J13" s="85"/>
      <c r="K13" s="84">
        <v>39077676</v>
      </c>
      <c r="L13" s="85"/>
      <c r="M13" s="57">
        <f>IF(OR(K13=0,C13=0),"-",IF((K13-C13)&lt;0,"Erreur",(K13-C13)))</f>
        <v>10102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253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254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967</v>
      </c>
      <c r="B17" s="94"/>
      <c r="C17" s="93">
        <f>IF(OR(I10=0,G10=0),"-",IF((I10-G10)&lt;0,"Erreur",(I10-G10)))</f>
        <v>344</v>
      </c>
      <c r="D17" s="94"/>
      <c r="E17" s="95">
        <f>IF(OR(I10=0,K10=0,C10=0,E10=0),"-",IF(((K10-I10)+(E10-C10))&lt;0,"Erreur",((K10-I10)+(E10-C10))))</f>
        <v>667</v>
      </c>
      <c r="F17" s="96"/>
      <c r="G17" s="97">
        <f>SUM(A17:F17)</f>
        <v>1978</v>
      </c>
      <c r="H17" s="98"/>
      <c r="I17" s="3"/>
      <c r="J17" s="99" t="s">
        <v>44</v>
      </c>
      <c r="K17" s="100"/>
      <c r="L17" s="101" t="s">
        <v>255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113MW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19H32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39067574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39077676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611789.59999990463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10102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10102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1978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10.102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1967.8979999999999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10.102</v>
      </c>
    </row>
    <row r="29" spans="1:23" ht="28.35" customHeight="1" thickTop="1" thickBot="1">
      <c r="B29" s="131" t="s">
        <v>63</v>
      </c>
      <c r="C29" s="132"/>
      <c r="D29" s="133">
        <v>743340455.20000005</v>
      </c>
      <c r="E29" s="133"/>
      <c r="F29" s="133"/>
      <c r="G29" s="133"/>
      <c r="H29" s="133">
        <v>743952244.79999995</v>
      </c>
      <c r="I29" s="133"/>
      <c r="J29" s="133"/>
      <c r="K29" s="133"/>
      <c r="L29" s="134">
        <f>IF(OR(H29=0,D29=0),"-",IF((H29-D29)&lt;0,"Erreur",(H29-D29)))</f>
        <v>611789.59999990463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2332</v>
      </c>
      <c r="E33" s="159"/>
      <c r="F33" s="159"/>
      <c r="G33" s="159"/>
      <c r="H33" s="159">
        <v>2332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2259</v>
      </c>
      <c r="E35" s="159"/>
      <c r="F35" s="159"/>
      <c r="G35" s="159"/>
      <c r="H35" s="159">
        <v>2259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27949.3</v>
      </c>
      <c r="E39" s="167"/>
      <c r="F39" s="167"/>
      <c r="G39" s="168"/>
      <c r="H39" s="166">
        <v>27973.3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27917.4</v>
      </c>
      <c r="E41" s="159"/>
      <c r="F41" s="159"/>
      <c r="G41" s="159"/>
      <c r="H41" s="159">
        <v>27941.4</v>
      </c>
      <c r="I41" s="159"/>
      <c r="J41" s="159"/>
      <c r="K41" s="159"/>
      <c r="L41" s="134"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248</v>
      </c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60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25</v>
      </c>
      <c r="B46" s="188"/>
      <c r="C46" s="184" t="s">
        <v>252</v>
      </c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60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251"/>
      <c r="B47" s="181"/>
      <c r="C47" s="184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6"/>
      <c r="Q47" s="181"/>
      <c r="R47" s="181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4"/>
    </row>
    <row r="48" spans="1:31" ht="18" customHeight="1">
      <c r="A48" s="178"/>
      <c r="B48" s="179"/>
      <c r="C48" s="189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1"/>
      <c r="Q48" s="181"/>
      <c r="R48" s="181"/>
      <c r="S48" s="180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6.5" customHeight="1">
      <c r="A49" s="182"/>
      <c r="B49" s="183"/>
      <c r="C49" s="184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Q49" s="181"/>
      <c r="R49" s="181"/>
      <c r="S49" s="184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6"/>
    </row>
    <row r="50" spans="1:31" ht="16.5" customHeight="1">
      <c r="A50" s="187"/>
      <c r="B50" s="181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72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5"/>
    </row>
    <row r="51" spans="1:31" ht="16.5" customHeight="1">
      <c r="A51" s="181"/>
      <c r="B51" s="181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4"/>
      <c r="Q51" s="175"/>
      <c r="R51" s="176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4"/>
    </row>
    <row r="52" spans="1:31" ht="16.5" customHeight="1">
      <c r="A52" s="175"/>
      <c r="B52" s="176"/>
      <c r="C52" s="184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6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189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>
      <c r="A55" s="175"/>
      <c r="B55" s="176"/>
      <c r="C55" s="17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5"/>
      <c r="Q55" s="181"/>
      <c r="R55" s="181"/>
      <c r="S55" s="172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5"/>
    </row>
    <row r="56" spans="1:31" ht="16.5" customHeight="1">
      <c r="A56" s="181"/>
      <c r="B56" s="181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9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1"/>
      <c r="Q57" s="175"/>
      <c r="R57" s="176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4"/>
    </row>
    <row r="58" spans="1:31" ht="16.5" customHeight="1">
      <c r="A58" s="175"/>
      <c r="B58" s="176"/>
      <c r="C58" s="17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5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81"/>
      <c r="B59" s="181"/>
      <c r="C59" s="189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/>
      <c r="B60" s="176"/>
      <c r="C60" s="180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7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98"/>
      <c r="B61" s="176"/>
      <c r="C61" s="189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>
      <c r="A62" s="175"/>
      <c r="B62" s="176"/>
      <c r="C62" s="180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 ht="15.75" thickBot="1">
      <c r="A63" s="175"/>
      <c r="B63" s="176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99"/>
      <c r="R63" s="200"/>
      <c r="S63" s="208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10"/>
    </row>
    <row r="64" spans="1:31" ht="16.5" thickTop="1" thickBot="1">
      <c r="A64" s="199"/>
      <c r="B64" s="200"/>
      <c r="C64" s="180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24.75" thickTop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01" t="s">
        <v>79</v>
      </c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3"/>
    </row>
    <row r="66" spans="1:31" ht="24.75" thickTop="1" thickBot="1">
      <c r="A66" s="201" t="s">
        <v>79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3"/>
      <c r="Q66" s="204" t="s">
        <v>80</v>
      </c>
      <c r="R66" s="205"/>
      <c r="S66" s="206" t="s">
        <v>81</v>
      </c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</row>
    <row r="67" spans="1:31" ht="20.25" thickTop="1" thickBot="1">
      <c r="A67" s="204" t="s">
        <v>80</v>
      </c>
      <c r="B67" s="205"/>
      <c r="C67" s="206" t="s">
        <v>82</v>
      </c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Q67" s="218"/>
      <c r="R67" s="219"/>
      <c r="S67" s="220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2"/>
    </row>
    <row r="68" spans="1:31" ht="18.75">
      <c r="A68" s="218"/>
      <c r="B68" s="219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  <c r="Q68" s="216"/>
      <c r="R68" s="217"/>
      <c r="S68" s="213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5"/>
    </row>
    <row r="69" spans="1:31" ht="18.75">
      <c r="A69" s="211"/>
      <c r="B69" s="212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5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6"/>
      <c r="B70" s="217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13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26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26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9.5" thickBot="1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20.25" thickTop="1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27" t="s">
        <v>83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9"/>
    </row>
    <row r="79" spans="1:31" ht="17.25" thickTop="1" thickBot="1">
      <c r="A79" s="227" t="s">
        <v>83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9"/>
      <c r="Q79" s="236" t="s">
        <v>84</v>
      </c>
      <c r="R79" s="237"/>
      <c r="S79" s="237" t="s">
        <v>85</v>
      </c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 t="s">
        <v>86</v>
      </c>
      <c r="AE79" s="238"/>
    </row>
    <row r="80" spans="1:31" ht="15.75" thickTop="1">
      <c r="A80" s="236" t="s">
        <v>84</v>
      </c>
      <c r="B80" s="237"/>
      <c r="C80" s="237" t="s">
        <v>85</v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 t="s">
        <v>86</v>
      </c>
      <c r="O80" s="238"/>
      <c r="Q80" s="230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9"/>
    </row>
    <row r="81" spans="1:31">
      <c r="A81" s="230" t="s">
        <v>249</v>
      </c>
      <c r="B81" s="231"/>
      <c r="C81" s="232" t="s">
        <v>241</v>
      </c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3" t="s">
        <v>146</v>
      </c>
      <c r="O81" s="234"/>
      <c r="Q81" s="235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4"/>
    </row>
    <row r="82" spans="1:31">
      <c r="A82" s="235" t="s">
        <v>250</v>
      </c>
      <c r="B82" s="233"/>
      <c r="C82" s="232" t="s">
        <v>239</v>
      </c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 t="s">
        <v>146</v>
      </c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1"/>
      <c r="O83" s="239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4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 ht="15.75" thickBot="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40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2"/>
    </row>
    <row r="90" spans="1:31" ht="16.5" thickTop="1" thickBot="1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2"/>
    </row>
    <row r="91" spans="1:31" ht="16.5" thickTop="1" thickBot="1"/>
    <row r="92" spans="1:31" ht="17.25" thickTop="1" thickBot="1">
      <c r="A92" s="227" t="s">
        <v>87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9"/>
    </row>
    <row r="93" spans="1:31" ht="15.75" thickTop="1">
      <c r="A93" s="255" t="s">
        <v>88</v>
      </c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7"/>
    </row>
    <row r="94" spans="1:31">
      <c r="A94" s="184" t="s">
        <v>89</v>
      </c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5"/>
    </row>
    <row r="95" spans="1:31">
      <c r="A95" s="184" t="s">
        <v>201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91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183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 ht="15.75" thickBot="1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50"/>
    </row>
    <row r="104" spans="1:15" ht="15.75" thickTop="1"/>
    <row r="115" spans="21:21">
      <c r="U115" s="5"/>
    </row>
    <row r="128" spans="21:21">
      <c r="U128" s="5"/>
    </row>
    <row r="150" ht="15.75" customHeight="1"/>
    <row r="204" spans="19:19">
      <c r="S204" s="5"/>
    </row>
  </sheetData>
  <protectedRanges>
    <protectedRange password="EC6D" sqref="A15:H16 B29:C30 B32:C37 B38 B31 B28 D27:N27 A20:O21 J15:K18 A22:C24 A8:O9 A11:B13 E11:F12 E17:H17 L29:N30 L32:N36 H24:O25 L39:N44 B39:C44 B63 I11:J12 R45:R46" name="Plage2"/>
    <protectedRange password="EC6D" sqref="C63 S45 S47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7" name="Plage2_2_2_1_1_1"/>
    <protectedRange password="EC6D" sqref="D24:G24" name="Plage2_1"/>
    <protectedRange password="EC6D" sqref="B45" name="Plage2_4_2"/>
    <protectedRange password="EC6D" sqref="C57" name="Plage2_2_2_1_2_1_2_1_2"/>
    <protectedRange password="EC6D" sqref="L60:N60 C60" name="Plage2_6_1_1_3"/>
    <protectedRange password="EC6D" sqref="C61" name="Plage2_2_2_1_2_1_2_2"/>
    <protectedRange password="EC6D" sqref="L62:N62 C62 L64:N64 C64 AB46:AD46 S46" name="Plage2_4_1"/>
    <protectedRange password="EC6D" sqref="B46" name="Plage2_4_1_1_1"/>
    <protectedRange password="EC6D" sqref="B47" name="Plage2_4_1_1_2"/>
    <protectedRange password="EC6D" sqref="B48" name="Plage2_4_1_1_3"/>
    <protectedRange password="EC6D" sqref="B49" name="Plage2_4_2_1"/>
    <protectedRange password="EC6D" sqref="B50" name="Plage2_4_2_2"/>
    <protectedRange password="EC6D" sqref="B51" name="Plage2_4_2_3"/>
    <protectedRange password="EC6D" sqref="B52:B53" name="Plage2_4_2_4"/>
    <protectedRange password="EC6D" sqref="B54" name="Plage2_4_2_6"/>
    <protectedRange password="EC6D" sqref="B55" name="Plage2_4_2_7"/>
    <protectedRange password="EC6D" sqref="B56" name="Plage2_4_2_8"/>
    <protectedRange password="EC6D" sqref="B57" name="Plage2_4_2_9"/>
    <protectedRange password="EC6D" sqref="B58" name="Plage2_4_2_10"/>
    <protectedRange password="EC6D" sqref="B59" name="Plage2_7"/>
    <protectedRange password="EC6D" sqref="B60" name="Plage2_4_2_11"/>
    <protectedRange password="EC6D" sqref="B61" name="Plage2_4_2_12"/>
    <protectedRange password="EC6D" sqref="B62" name="Plage2_4_2_13"/>
    <protectedRange password="EC6D" sqref="L56:N56 C56" name="Plage2_6_1_1_2_1"/>
    <protectedRange password="EC6D" sqref="L58:N58 C58" name="Plage2_6_1_1_3_1"/>
    <protectedRange password="EC6D" sqref="C53" name="Plage2_2_2_1_2_1_2"/>
    <protectedRange password="EC6D" sqref="C54" name="Plage2_2_3_1"/>
    <protectedRange password="EC6D" sqref="L55:N55 C55" name="Plage2_5_1"/>
    <protectedRange password="EC6D" sqref="S49" name="Plage2_2_2_2_1_2_1_1"/>
    <protectedRange password="EC6D" sqref="C59" name="Plage2_2_2_1_2_1_2_1_2_1"/>
    <protectedRange password="EC6D" sqref="C52" name="Plage2_2_1_1_1_1"/>
    <protectedRange password="EC6D" sqref="C50:C51" name="Plage2_2_3_1_1_2"/>
    <protectedRange password="EC6D" sqref="C49" name="Plage2_2_1_1_1_1_1_1_1"/>
    <protectedRange password="EC6D" sqref="C47" name="Plage2_2_2_2_1_2_1"/>
    <protectedRange password="EC6D" sqref="C48" name="Plage2_2_2_1_2_1_2_1_1_1"/>
    <protectedRange password="EC6D" sqref="C45:C46" name="Plage2_2_1_1_1_1_1_1_1_1"/>
  </protectedRanges>
  <mergeCells count="374">
    <mergeCell ref="A101:O101"/>
    <mergeCell ref="A102:O102"/>
    <mergeCell ref="A103:O103"/>
    <mergeCell ref="A95:O95"/>
    <mergeCell ref="A96:O96"/>
    <mergeCell ref="A97:O97"/>
    <mergeCell ref="A98:O98"/>
    <mergeCell ref="A99:O99"/>
    <mergeCell ref="A100:O100"/>
    <mergeCell ref="A90:B90"/>
    <mergeCell ref="C90:M90"/>
    <mergeCell ref="N90:O90"/>
    <mergeCell ref="A92:O92"/>
    <mergeCell ref="A93:O93"/>
    <mergeCell ref="A94:O94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O79"/>
    <mergeCell ref="Q79:R79"/>
    <mergeCell ref="S79:AC79"/>
    <mergeCell ref="AD79:AE79"/>
    <mergeCell ref="A80:B80"/>
    <mergeCell ref="C80:M80"/>
    <mergeCell ref="N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A67:B67"/>
    <mergeCell ref="C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5:AE65"/>
    <mergeCell ref="A66:O66"/>
    <mergeCell ref="Q66:R66"/>
    <mergeCell ref="S66:AE66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335" priority="18" operator="containsText" text="Erreur">
      <formula>NOT(ISERROR(SEARCH("Erreur",A17)))</formula>
    </cfRule>
    <cfRule type="containsText" dxfId="334" priority="19" operator="containsText" text="Erreur">
      <formula>NOT(ISERROR(SEARCH("Erreur",A17)))</formula>
    </cfRule>
    <cfRule type="containsText" dxfId="333" priority="20" operator="containsText" text="Erreur">
      <formula>NOT(ISERROR(SEARCH("Erreur",A17)))</formula>
    </cfRule>
    <cfRule type="cellIs" dxfId="332" priority="21" operator="lessThan">
      <formula>0</formula>
    </cfRule>
  </conditionalFormatting>
  <conditionalFormatting sqref="R11">
    <cfRule type="containsText" dxfId="331" priority="17" operator="containsText" text="Erreur">
      <formula>NOT(ISERROR(SEARCH("Erreur",R11)))</formula>
    </cfRule>
  </conditionalFormatting>
  <conditionalFormatting sqref="H24:L24">
    <cfRule type="containsText" dxfId="330" priority="16" operator="containsText" text="Erreur">
      <formula>NOT(ISERROR(SEARCH("Erreur",H24)))</formula>
    </cfRule>
  </conditionalFormatting>
  <conditionalFormatting sqref="L29:N30 L32:N36">
    <cfRule type="cellIs" dxfId="329" priority="15" operator="equal">
      <formula>"Erreur"</formula>
    </cfRule>
  </conditionalFormatting>
  <conditionalFormatting sqref="M10 M11:O13">
    <cfRule type="cellIs" dxfId="328" priority="13" operator="equal">
      <formula>"-"</formula>
    </cfRule>
    <cfRule type="cellIs" dxfId="327" priority="14" operator="equal">
      <formula>"Erreur"</formula>
    </cfRule>
  </conditionalFormatting>
  <conditionalFormatting sqref="A17:D17 L25:O25 G17:H17 L29:N30 L32:N36">
    <cfRule type="cellIs" dxfId="326" priority="12" operator="equal">
      <formula>"-"</formula>
    </cfRule>
  </conditionalFormatting>
  <conditionalFormatting sqref="E17:F17">
    <cfRule type="cellIs" dxfId="325" priority="7" operator="equal">
      <formula>"-"</formula>
    </cfRule>
    <cfRule type="containsText" dxfId="324" priority="8" operator="containsText" text="Erreur">
      <formula>NOT(ISERROR(SEARCH("Erreur",E17)))</formula>
    </cfRule>
    <cfRule type="containsText" dxfId="323" priority="9" operator="containsText" text="Erreur">
      <formula>NOT(ISERROR(SEARCH("Erreur",E17)))</formula>
    </cfRule>
    <cfRule type="containsText" dxfId="322" priority="10" operator="containsText" text="Erreur">
      <formula>NOT(ISERROR(SEARCH("Erreur",E17)))</formula>
    </cfRule>
    <cfRule type="cellIs" dxfId="321" priority="11" operator="lessThan">
      <formula>0</formula>
    </cfRule>
  </conditionalFormatting>
  <conditionalFormatting sqref="D24:O24">
    <cfRule type="cellIs" dxfId="320" priority="5" operator="equal">
      <formula>"-"</formula>
    </cfRule>
    <cfRule type="containsText" dxfId="319" priority="6" operator="containsText" text="Erreur">
      <formula>NOT(ISERROR(SEARCH("Erreur",D24)))</formula>
    </cfRule>
  </conditionalFormatting>
  <conditionalFormatting sqref="L39:N42">
    <cfRule type="cellIs" dxfId="318" priority="3" operator="equal">
      <formula>"Erreur"</formula>
    </cfRule>
    <cfRule type="cellIs" dxfId="317" priority="4" operator="equal">
      <formula>"-"</formula>
    </cfRule>
  </conditionalFormatting>
  <conditionalFormatting sqref="D24:G24">
    <cfRule type="cellIs" dxfId="316" priority="1" operator="equal">
      <formula>"-"</formula>
    </cfRule>
    <cfRule type="containsText" dxfId="315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E205"/>
  <sheetViews>
    <sheetView topLeftCell="A40" zoomScale="120" zoomScaleNormal="120" workbookViewId="0">
      <selection activeCell="C49" sqref="C49:O49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251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18</v>
      </c>
      <c r="E3" s="38"/>
      <c r="F3" s="38"/>
      <c r="G3" s="37" t="s">
        <v>18</v>
      </c>
      <c r="H3" s="38"/>
      <c r="I3" s="38"/>
      <c r="J3" s="37" t="s">
        <v>6</v>
      </c>
      <c r="K3" s="38"/>
      <c r="L3" s="38"/>
      <c r="M3" s="37" t="s">
        <v>6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9</v>
      </c>
      <c r="E4" s="38"/>
      <c r="F4" s="38"/>
      <c r="G4" s="38" t="s">
        <v>27</v>
      </c>
      <c r="H4" s="38"/>
      <c r="I4" s="38"/>
      <c r="J4" s="38" t="s">
        <v>8</v>
      </c>
      <c r="K4" s="38"/>
      <c r="L4" s="38"/>
      <c r="M4" s="38" t="s">
        <v>10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14</v>
      </c>
      <c r="E5" s="38"/>
      <c r="F5" s="38"/>
      <c r="G5" s="38" t="s">
        <v>19</v>
      </c>
      <c r="H5" s="38"/>
      <c r="I5" s="38"/>
      <c r="J5" s="38" t="s">
        <v>93</v>
      </c>
      <c r="K5" s="38"/>
      <c r="L5" s="38"/>
      <c r="M5" s="38" t="s">
        <v>13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 t="s">
        <v>28</v>
      </c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435858</v>
      </c>
      <c r="D10" s="48"/>
      <c r="E10" s="47">
        <v>436280</v>
      </c>
      <c r="F10" s="49"/>
      <c r="G10" s="47">
        <v>437294</v>
      </c>
      <c r="H10" s="48"/>
      <c r="I10" s="47">
        <v>437734</v>
      </c>
      <c r="J10" s="48"/>
      <c r="K10" s="47">
        <v>437906</v>
      </c>
      <c r="L10" s="48"/>
      <c r="M10" s="50">
        <f>IF(OR(K10=0,C10=0),"-",IF((K10-C10)&lt;0,"Erreur",(K10-C10)))</f>
        <v>2048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228849</v>
      </c>
      <c r="D11" s="63"/>
      <c r="E11" s="64"/>
      <c r="F11" s="64"/>
      <c r="G11" s="65"/>
      <c r="H11" s="66"/>
      <c r="I11" s="64"/>
      <c r="J11" s="64"/>
      <c r="K11" s="62">
        <v>228850</v>
      </c>
      <c r="L11" s="63"/>
      <c r="M11" s="57">
        <f>IF(OR(K11=0,C11=0),"-",IF((K11-C11)&lt;0,"Erreur",(K11-C11)))</f>
        <v>1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69551</v>
      </c>
      <c r="D12" s="63"/>
      <c r="E12" s="64"/>
      <c r="F12" s="64"/>
      <c r="G12" s="65"/>
      <c r="H12" s="66"/>
      <c r="I12" s="64"/>
      <c r="J12" s="64"/>
      <c r="K12" s="62">
        <v>70181</v>
      </c>
      <c r="L12" s="63"/>
      <c r="M12" s="57">
        <f>IF(OR(K12=0,C12=0),"-",IF((K12-C12)&lt;0,"Erreur",(K12-C12)))</f>
        <v>630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39077676</v>
      </c>
      <c r="D13" s="85"/>
      <c r="E13" s="84">
        <v>39080838</v>
      </c>
      <c r="F13" s="85"/>
      <c r="G13" s="84">
        <v>39085446</v>
      </c>
      <c r="H13" s="85"/>
      <c r="I13" s="84">
        <v>39087197</v>
      </c>
      <c r="J13" s="85"/>
      <c r="K13" s="84">
        <v>39088013</v>
      </c>
      <c r="L13" s="85"/>
      <c r="M13" s="57">
        <f>IF(OR(K13=0,C13=0),"-",IF((K13-C13)&lt;0,"Erreur",(K13-C13)))</f>
        <v>10337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>
        <v>112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>
        <v>17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1014</v>
      </c>
      <c r="B17" s="94"/>
      <c r="C17" s="93">
        <f>IF(OR(I10=0,G10=0),"-",IF((I10-G10)&lt;0,"Erreur",(I10-G10)))</f>
        <v>440</v>
      </c>
      <c r="D17" s="94"/>
      <c r="E17" s="95">
        <f>IF(OR(I10=0,K10=0,C10=0,E10=0),"-",IF(((K10-I10)+(E10-C10))&lt;0,"Erreur",((K10-I10)+(E10-C10))))</f>
        <v>594</v>
      </c>
      <c r="F17" s="96"/>
      <c r="G17" s="97">
        <f>SUM(A17:F17)</f>
        <v>2048</v>
      </c>
      <c r="H17" s="98"/>
      <c r="I17" s="3"/>
      <c r="J17" s="99" t="s">
        <v>44</v>
      </c>
      <c r="K17" s="100"/>
      <c r="L17" s="101" t="s">
        <v>272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112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19h36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23.900000000001455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1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39077676</v>
      </c>
      <c r="E22" s="110"/>
      <c r="F22" s="110"/>
      <c r="G22" s="111"/>
      <c r="H22" s="112">
        <v>39079636</v>
      </c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39079066</v>
      </c>
      <c r="E23" s="110"/>
      <c r="F23" s="110"/>
      <c r="G23" s="111"/>
      <c r="H23" s="62">
        <v>39088013</v>
      </c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631887.80000007153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1390</v>
      </c>
      <c r="E24" s="123"/>
      <c r="F24" s="123"/>
      <c r="G24" s="124"/>
      <c r="H24" s="122">
        <f>IF(OR(H22=0,H23=0),"-",IF((H23-H22)&lt;0,"Erreur",(H23-H22)))</f>
        <v>8377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9767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2048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9.7669999999999995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2038.2329999999999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10.337</v>
      </c>
    </row>
    <row r="29" spans="1:23" ht="28.35" customHeight="1" thickTop="1" thickBot="1">
      <c r="B29" s="131" t="s">
        <v>63</v>
      </c>
      <c r="C29" s="132"/>
      <c r="D29" s="133">
        <v>743952244.79999995</v>
      </c>
      <c r="E29" s="133"/>
      <c r="F29" s="133"/>
      <c r="G29" s="133"/>
      <c r="H29" s="133">
        <v>744584132.60000002</v>
      </c>
      <c r="I29" s="133"/>
      <c r="J29" s="133"/>
      <c r="K29" s="133"/>
      <c r="L29" s="134">
        <f>IF(OR(H29=0,D29=0),"-",IF((H29-D29)&lt;0,"Erreur",(H29-D29)))</f>
        <v>631887.80000007153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2332</v>
      </c>
      <c r="E33" s="159"/>
      <c r="F33" s="159"/>
      <c r="G33" s="159"/>
      <c r="H33" s="159">
        <v>2333</v>
      </c>
      <c r="I33" s="159"/>
      <c r="J33" s="159"/>
      <c r="K33" s="159"/>
      <c r="L33" s="134">
        <f>IF(OR(H33=0,D33=0),"-",IF((H33-D33)&lt;0,"Erreur",(H33-D33)))</f>
        <v>1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2259</v>
      </c>
      <c r="E35" s="159"/>
      <c r="F35" s="159"/>
      <c r="G35" s="159"/>
      <c r="H35" s="159">
        <v>2260</v>
      </c>
      <c r="I35" s="159"/>
      <c r="J35" s="159"/>
      <c r="K35" s="159"/>
      <c r="L35" s="134">
        <f>IF(OR(H35=0,D35=0),"-",IF((H35-D35)&lt;0,"Erreur",(H35-D35)))</f>
        <v>1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>
        <v>1</v>
      </c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27973.3</v>
      </c>
      <c r="E39" s="167"/>
      <c r="F39" s="167"/>
      <c r="G39" s="168"/>
      <c r="H39" s="166">
        <v>27997.200000000001</v>
      </c>
      <c r="I39" s="167"/>
      <c r="J39" s="167"/>
      <c r="K39" s="168"/>
      <c r="L39" s="134">
        <f>IF(OR(H39=0,D39=0),"-",IF((H39-D39)&lt;0,"Erreur",(H39-D39)))</f>
        <v>23.900000000001455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27941.4</v>
      </c>
      <c r="E41" s="159"/>
      <c r="F41" s="159"/>
      <c r="G41" s="159"/>
      <c r="H41" s="159">
        <v>27965.3</v>
      </c>
      <c r="I41" s="159"/>
      <c r="J41" s="159"/>
      <c r="K41" s="159"/>
      <c r="L41" s="134">
        <f>IF(OR(H41=0,D41=0),"-",IF((H41-D41)&lt;0,"Erreur",(H41-D41)))</f>
        <v>23.899999999997817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252</v>
      </c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60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270</v>
      </c>
      <c r="B46" s="188"/>
      <c r="C46" s="264" t="s">
        <v>271</v>
      </c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6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 t="s">
        <v>265</v>
      </c>
      <c r="B47" s="267"/>
      <c r="C47" s="264" t="s">
        <v>221</v>
      </c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6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 t="s">
        <v>256</v>
      </c>
      <c r="B48" s="181"/>
      <c r="C48" s="184" t="s">
        <v>181</v>
      </c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6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 t="s">
        <v>257</v>
      </c>
      <c r="B49" s="179"/>
      <c r="C49" s="184" t="s">
        <v>258</v>
      </c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 t="s">
        <v>259</v>
      </c>
      <c r="B50" s="183"/>
      <c r="C50" s="189" t="s">
        <v>269</v>
      </c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1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7" t="s">
        <v>264</v>
      </c>
      <c r="B51" s="181"/>
      <c r="C51" s="184" t="s">
        <v>266</v>
      </c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6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 t="s">
        <v>260</v>
      </c>
      <c r="B52" s="181"/>
      <c r="C52" s="172" t="s">
        <v>267</v>
      </c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4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 t="s">
        <v>261</v>
      </c>
      <c r="B53" s="176"/>
      <c r="C53" s="261" t="s">
        <v>268</v>
      </c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 t="s">
        <v>262</v>
      </c>
      <c r="B54" s="176"/>
      <c r="C54" s="184" t="s">
        <v>263</v>
      </c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6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 t="s">
        <v>25</v>
      </c>
      <c r="B55" s="176"/>
      <c r="C55" s="184" t="s">
        <v>273</v>
      </c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60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/>
      <c r="B56" s="176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81"/>
      <c r="B57" s="181"/>
      <c r="C57" s="172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5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/>
      <c r="B58" s="176"/>
      <c r="C58" s="189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1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/>
      <c r="B59" s="176"/>
      <c r="C59" s="172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5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/>
      <c r="B60" s="181"/>
      <c r="C60" s="189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/>
      <c r="B61" s="176"/>
      <c r="C61" s="18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/>
      <c r="B62" s="176"/>
      <c r="C62" s="189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1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/>
      <c r="B69" s="219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/>
      <c r="B70" s="212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/>
      <c r="B82" s="231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C58" name="Plage2_2_2_1_2_1_2_1_2"/>
    <protectedRange password="EC6D" sqref="L61:N61 C61" name="Plage2_6_1_1_3"/>
    <protectedRange password="EC6D" sqref="C62" name="Plage2_2_2_1_2_1_2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" name="Plage2_4_2_1"/>
    <protectedRange password="EC6D" sqref="B51" name="Plage2_4_2_2"/>
    <protectedRange password="EC6D" sqref="B52" name="Plage2_4_2_3"/>
    <protectedRange password="EC6D" sqref="B53:B54" name="Plage2_4_2_4"/>
    <protectedRange password="EC6D" sqref="B55" name="Plage2_4_2_6"/>
    <protectedRange password="EC6D" sqref="B56" name="Plage2_4_2_7"/>
    <protectedRange password="EC6D" sqref="B57" name="Plage2_4_2_8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L57:N57 C57" name="Plage2_6_1_1_2_1"/>
    <protectedRange password="EC6D" sqref="L59:N59 C59" name="Plage2_6_1_1_3_1"/>
    <protectedRange password="EC6D" sqref="L56:N56 C56" name="Plage2_5_1"/>
    <protectedRange password="EC6D" sqref="S50" name="Plage2_2_2_2_1_2_1_1"/>
    <protectedRange password="EC6D" sqref="C60" name="Plage2_2_2_1_2_1_2_1_2_1"/>
    <protectedRange password="EC6D" sqref="C54" name="Plage2_2_1_1_1_1"/>
    <protectedRange password="EC6D" sqref="C52:C53" name="Plage2_2_3_1_1_2"/>
    <protectedRange password="EC6D" sqref="C51" name="Plage2_2_1_1_1_1_1_1_1"/>
    <protectedRange password="EC6D" sqref="C49" name="Plage2_2_2_2_1_2_1"/>
    <protectedRange password="EC6D" sqref="C50" name="Plage2_2_2_1_2_1_2_1_1_1"/>
    <protectedRange password="EC6D" sqref="C45 C55" name="Plage2_2_1_1_1_1_1_1_1_1_1"/>
    <protectedRange password="EC6D" sqref="C46:C48" name="Plage2_2_2_2_1_2_1_2"/>
  </protectedRanges>
  <mergeCells count="378"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A49:B49"/>
    <mergeCell ref="C49:O49"/>
    <mergeCell ref="Q49:R49"/>
    <mergeCell ref="S49:AE49"/>
    <mergeCell ref="A50:B50"/>
    <mergeCell ref="C50:O50"/>
    <mergeCell ref="Q50:R50"/>
    <mergeCell ref="S50:AE50"/>
    <mergeCell ref="A46:B46"/>
    <mergeCell ref="C46:O46"/>
    <mergeCell ref="Q46:R46"/>
    <mergeCell ref="S46:AE46"/>
    <mergeCell ref="A48:B48"/>
    <mergeCell ref="C48:O48"/>
    <mergeCell ref="Q48:R48"/>
    <mergeCell ref="S48:AE48"/>
    <mergeCell ref="C47:O47"/>
    <mergeCell ref="A47:B47"/>
    <mergeCell ref="Q47:R47"/>
    <mergeCell ref="S47:AE47"/>
    <mergeCell ref="A53:B53"/>
    <mergeCell ref="C53:O53"/>
    <mergeCell ref="Q53:R53"/>
    <mergeCell ref="S53:AE53"/>
    <mergeCell ref="A54:B54"/>
    <mergeCell ref="C54:O54"/>
    <mergeCell ref="Q54:R54"/>
    <mergeCell ref="S54:AE54"/>
    <mergeCell ref="A51:B51"/>
    <mergeCell ref="C51:O51"/>
    <mergeCell ref="Q51:R51"/>
    <mergeCell ref="S51:AE51"/>
    <mergeCell ref="A52:B52"/>
    <mergeCell ref="C52:O52"/>
    <mergeCell ref="Q52:R52"/>
    <mergeCell ref="S52:AE52"/>
    <mergeCell ref="A57:B57"/>
    <mergeCell ref="C57:O57"/>
    <mergeCell ref="Q57:R57"/>
    <mergeCell ref="S57:AE57"/>
    <mergeCell ref="A58:B58"/>
    <mergeCell ref="C58:O58"/>
    <mergeCell ref="Q58:R58"/>
    <mergeCell ref="S58:AE58"/>
    <mergeCell ref="A55:B55"/>
    <mergeCell ref="C55:O55"/>
    <mergeCell ref="Q55:R55"/>
    <mergeCell ref="S55:AE55"/>
    <mergeCell ref="A56:B56"/>
    <mergeCell ref="C56:O56"/>
    <mergeCell ref="Q56:R56"/>
    <mergeCell ref="S56:AE56"/>
    <mergeCell ref="A61:B61"/>
    <mergeCell ref="C61:O61"/>
    <mergeCell ref="Q61:R61"/>
    <mergeCell ref="S61:AE61"/>
    <mergeCell ref="A62:B62"/>
    <mergeCell ref="C62:O62"/>
    <mergeCell ref="Q62:R62"/>
    <mergeCell ref="S62:AE62"/>
    <mergeCell ref="A59:B59"/>
    <mergeCell ref="C59:O59"/>
    <mergeCell ref="Q59:R59"/>
    <mergeCell ref="S59:AE59"/>
    <mergeCell ref="A60:B60"/>
    <mergeCell ref="C60:O60"/>
    <mergeCell ref="Q60:R60"/>
    <mergeCell ref="S60:AE60"/>
    <mergeCell ref="A65:B65"/>
    <mergeCell ref="C65:O65"/>
    <mergeCell ref="Q66:AE66"/>
    <mergeCell ref="A67:O67"/>
    <mergeCell ref="Q67:R67"/>
    <mergeCell ref="S67:AE67"/>
    <mergeCell ref="A63:B63"/>
    <mergeCell ref="C63:O63"/>
    <mergeCell ref="Q63:R63"/>
    <mergeCell ref="S63:AE63"/>
    <mergeCell ref="A64:B64"/>
    <mergeCell ref="C64:O64"/>
    <mergeCell ref="Q64:R64"/>
    <mergeCell ref="S64:AE64"/>
    <mergeCell ref="A70:B70"/>
    <mergeCell ref="C70:O70"/>
    <mergeCell ref="Q70:R70"/>
    <mergeCell ref="S70:AE70"/>
    <mergeCell ref="A71:B71"/>
    <mergeCell ref="C71:O71"/>
    <mergeCell ref="Q71:R71"/>
    <mergeCell ref="S71:AE71"/>
    <mergeCell ref="A68:B68"/>
    <mergeCell ref="C68:O68"/>
    <mergeCell ref="Q68:R68"/>
    <mergeCell ref="S68:AE68"/>
    <mergeCell ref="A69:B69"/>
    <mergeCell ref="C69:O69"/>
    <mergeCell ref="Q69:R69"/>
    <mergeCell ref="S69:AE69"/>
    <mergeCell ref="A74:B74"/>
    <mergeCell ref="C74:O74"/>
    <mergeCell ref="Q74:R74"/>
    <mergeCell ref="S74:AE74"/>
    <mergeCell ref="A75:B75"/>
    <mergeCell ref="C75:O75"/>
    <mergeCell ref="Q75:R75"/>
    <mergeCell ref="S75:AE75"/>
    <mergeCell ref="A72:B72"/>
    <mergeCell ref="C72:O72"/>
    <mergeCell ref="Q72:R72"/>
    <mergeCell ref="S72:AE72"/>
    <mergeCell ref="A73:B73"/>
    <mergeCell ref="C73:O73"/>
    <mergeCell ref="Q73:R73"/>
    <mergeCell ref="S73:AE73"/>
    <mergeCell ref="A78:B78"/>
    <mergeCell ref="C78:O78"/>
    <mergeCell ref="Q78:R78"/>
    <mergeCell ref="S78:AE78"/>
    <mergeCell ref="A79:B79"/>
    <mergeCell ref="C79:O79"/>
    <mergeCell ref="Q79:AE79"/>
    <mergeCell ref="A76:B76"/>
    <mergeCell ref="C76:O76"/>
    <mergeCell ref="Q76:R76"/>
    <mergeCell ref="S76:AE76"/>
    <mergeCell ref="A77:B77"/>
    <mergeCell ref="C77:O77"/>
    <mergeCell ref="Q77:R77"/>
    <mergeCell ref="S77:AE77"/>
    <mergeCell ref="A82:B82"/>
    <mergeCell ref="C82:M82"/>
    <mergeCell ref="N82:O82"/>
    <mergeCell ref="Q82:R82"/>
    <mergeCell ref="S82:AC82"/>
    <mergeCell ref="AD82:AE82"/>
    <mergeCell ref="A80:O80"/>
    <mergeCell ref="Q80:R80"/>
    <mergeCell ref="S80:AC80"/>
    <mergeCell ref="AD80:AE80"/>
    <mergeCell ref="A81:B81"/>
    <mergeCell ref="C81:M81"/>
    <mergeCell ref="N81:O81"/>
    <mergeCell ref="Q81:R81"/>
    <mergeCell ref="S81:AC81"/>
    <mergeCell ref="AD81:AE81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</mergeCells>
  <conditionalFormatting sqref="A17 C17 E17:F17">
    <cfRule type="containsText" dxfId="314" priority="18" operator="containsText" text="Erreur">
      <formula>NOT(ISERROR(SEARCH("Erreur",A17)))</formula>
    </cfRule>
    <cfRule type="containsText" dxfId="313" priority="19" operator="containsText" text="Erreur">
      <formula>NOT(ISERROR(SEARCH("Erreur",A17)))</formula>
    </cfRule>
    <cfRule type="containsText" dxfId="312" priority="20" operator="containsText" text="Erreur">
      <formula>NOT(ISERROR(SEARCH("Erreur",A17)))</formula>
    </cfRule>
    <cfRule type="cellIs" dxfId="311" priority="21" operator="lessThan">
      <formula>0</formula>
    </cfRule>
  </conditionalFormatting>
  <conditionalFormatting sqref="R11">
    <cfRule type="containsText" dxfId="310" priority="17" operator="containsText" text="Erreur">
      <formula>NOT(ISERROR(SEARCH("Erreur",R11)))</formula>
    </cfRule>
  </conditionalFormatting>
  <conditionalFormatting sqref="H24:L24">
    <cfRule type="containsText" dxfId="309" priority="16" operator="containsText" text="Erreur">
      <formula>NOT(ISERROR(SEARCH("Erreur",H24)))</formula>
    </cfRule>
  </conditionalFormatting>
  <conditionalFormatting sqref="L29:N30 L32:N36">
    <cfRule type="cellIs" dxfId="308" priority="15" operator="equal">
      <formula>"Erreur"</formula>
    </cfRule>
  </conditionalFormatting>
  <conditionalFormatting sqref="M10 M11:O13">
    <cfRule type="cellIs" dxfId="307" priority="13" operator="equal">
      <formula>"-"</formula>
    </cfRule>
    <cfRule type="cellIs" dxfId="306" priority="14" operator="equal">
      <formula>"Erreur"</formula>
    </cfRule>
  </conditionalFormatting>
  <conditionalFormatting sqref="A17:D17 L25:O25 G17:H17 L29:N30 L32:N36">
    <cfRule type="cellIs" dxfId="305" priority="12" operator="equal">
      <formula>"-"</formula>
    </cfRule>
  </conditionalFormatting>
  <conditionalFormatting sqref="E17:F17">
    <cfRule type="cellIs" dxfId="304" priority="7" operator="equal">
      <formula>"-"</formula>
    </cfRule>
    <cfRule type="containsText" dxfId="303" priority="8" operator="containsText" text="Erreur">
      <formula>NOT(ISERROR(SEARCH("Erreur",E17)))</formula>
    </cfRule>
    <cfRule type="containsText" dxfId="302" priority="9" operator="containsText" text="Erreur">
      <formula>NOT(ISERROR(SEARCH("Erreur",E17)))</formula>
    </cfRule>
    <cfRule type="containsText" dxfId="301" priority="10" operator="containsText" text="Erreur">
      <formula>NOT(ISERROR(SEARCH("Erreur",E17)))</formula>
    </cfRule>
    <cfRule type="cellIs" dxfId="300" priority="11" operator="lessThan">
      <formula>0</formula>
    </cfRule>
  </conditionalFormatting>
  <conditionalFormatting sqref="D24:O24">
    <cfRule type="cellIs" dxfId="299" priority="5" operator="equal">
      <formula>"-"</formula>
    </cfRule>
    <cfRule type="containsText" dxfId="298" priority="6" operator="containsText" text="Erreur">
      <formula>NOT(ISERROR(SEARCH("Erreur",D24)))</formula>
    </cfRule>
  </conditionalFormatting>
  <conditionalFormatting sqref="L39:N42">
    <cfRule type="cellIs" dxfId="297" priority="3" operator="equal">
      <formula>"Erreur"</formula>
    </cfRule>
    <cfRule type="cellIs" dxfId="296" priority="4" operator="equal">
      <formula>"-"</formula>
    </cfRule>
  </conditionalFormatting>
  <conditionalFormatting sqref="D24:G24">
    <cfRule type="cellIs" dxfId="295" priority="1" operator="equal">
      <formula>"-"</formula>
    </cfRule>
    <cfRule type="containsText" dxfId="294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E205"/>
  <sheetViews>
    <sheetView topLeftCell="A16" zoomScale="120" zoomScaleNormal="120" workbookViewId="0">
      <selection activeCell="C68" sqref="C68:O68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274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6</v>
      </c>
      <c r="E3" s="38"/>
      <c r="F3" s="38"/>
      <c r="G3" s="37" t="s">
        <v>5</v>
      </c>
      <c r="H3" s="38"/>
      <c r="I3" s="38"/>
      <c r="J3" s="37" t="s">
        <v>5</v>
      </c>
      <c r="K3" s="38"/>
      <c r="L3" s="38"/>
      <c r="M3" s="37" t="s">
        <v>6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10</v>
      </c>
      <c r="E4" s="38"/>
      <c r="F4" s="38"/>
      <c r="G4" s="38" t="s">
        <v>27</v>
      </c>
      <c r="H4" s="38"/>
      <c r="I4" s="38"/>
      <c r="J4" s="38" t="s">
        <v>8</v>
      </c>
      <c r="K4" s="38"/>
      <c r="L4" s="38"/>
      <c r="M4" s="38" t="s">
        <v>10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13</v>
      </c>
      <c r="E5" s="38"/>
      <c r="F5" s="38"/>
      <c r="G5" s="38" t="s">
        <v>19</v>
      </c>
      <c r="H5" s="38"/>
      <c r="I5" s="38"/>
      <c r="J5" s="38" t="s">
        <v>93</v>
      </c>
      <c r="K5" s="38"/>
      <c r="L5" s="38"/>
      <c r="M5" s="38" t="s">
        <v>13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 t="s">
        <v>28</v>
      </c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437906</v>
      </c>
      <c r="D10" s="48"/>
      <c r="E10" s="47">
        <v>438455</v>
      </c>
      <c r="F10" s="49"/>
      <c r="G10" s="47">
        <v>439599</v>
      </c>
      <c r="H10" s="48"/>
      <c r="I10" s="47">
        <v>440062</v>
      </c>
      <c r="J10" s="48"/>
      <c r="K10" s="47">
        <v>440284</v>
      </c>
      <c r="L10" s="48"/>
      <c r="M10" s="50">
        <f>IF(OR(K10=0,C10=0),"-",IF((K10-C10)&lt;0,"Erreur",(K10-C10)))</f>
        <v>2378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228850</v>
      </c>
      <c r="D11" s="63"/>
      <c r="E11" s="64"/>
      <c r="F11" s="64"/>
      <c r="G11" s="65"/>
      <c r="H11" s="66"/>
      <c r="I11" s="64"/>
      <c r="J11" s="64"/>
      <c r="K11" s="62">
        <v>228850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70181</v>
      </c>
      <c r="D12" s="63"/>
      <c r="E12" s="64"/>
      <c r="F12" s="64"/>
      <c r="G12" s="65"/>
      <c r="H12" s="66"/>
      <c r="I12" s="64"/>
      <c r="J12" s="64"/>
      <c r="K12" s="62">
        <v>70980</v>
      </c>
      <c r="L12" s="63"/>
      <c r="M12" s="57">
        <f>IF(OR(K12=0,C12=0),"-",IF((K12-C12)&lt;0,"Erreur",(K12-C12)))</f>
        <v>799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39088013</v>
      </c>
      <c r="D13" s="85"/>
      <c r="E13" s="84">
        <v>39090783</v>
      </c>
      <c r="F13" s="85"/>
      <c r="G13" s="84">
        <v>39095429</v>
      </c>
      <c r="H13" s="85"/>
      <c r="I13" s="84">
        <v>39097178</v>
      </c>
      <c r="J13" s="85"/>
      <c r="K13" s="84">
        <v>39098067</v>
      </c>
      <c r="L13" s="85"/>
      <c r="M13" s="57">
        <f>IF(OR(K13=0,C13=0),"-",IF((K13-C13)&lt;0,"Erreur",(K13-C13)))</f>
        <v>10054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>
        <v>114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>
        <v>17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1144</v>
      </c>
      <c r="B17" s="94"/>
      <c r="C17" s="93">
        <f>IF(OR(I10=0,G10=0),"-",IF((I10-G10)&lt;0,"Erreur",(I10-G10)))</f>
        <v>463</v>
      </c>
      <c r="D17" s="94"/>
      <c r="E17" s="95">
        <f>IF(OR(I10=0,K10=0,C10=0,E10=0),"-",IF(((K10-I10)+(E10-C10))&lt;0,"Erreur",((K10-I10)+(E10-C10))))</f>
        <v>771</v>
      </c>
      <c r="F17" s="96"/>
      <c r="G17" s="97">
        <f>SUM(A17:F17)</f>
        <v>2378</v>
      </c>
      <c r="H17" s="98"/>
      <c r="I17" s="3"/>
      <c r="J17" s="99" t="s">
        <v>44</v>
      </c>
      <c r="K17" s="100"/>
      <c r="L17" s="101" t="s">
        <v>286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114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34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21h06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39088013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39098067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712432.69999992847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10054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10054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2378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10.054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2367.9459999999999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10.054</v>
      </c>
    </row>
    <row r="29" spans="1:23" ht="28.35" customHeight="1" thickTop="1" thickBot="1">
      <c r="B29" s="131" t="s">
        <v>63</v>
      </c>
      <c r="C29" s="132"/>
      <c r="D29" s="133">
        <v>744584132.60000002</v>
      </c>
      <c r="E29" s="133"/>
      <c r="F29" s="133"/>
      <c r="G29" s="133"/>
      <c r="H29" s="133">
        <v>745296565.29999995</v>
      </c>
      <c r="I29" s="133"/>
      <c r="J29" s="133"/>
      <c r="K29" s="133"/>
      <c r="L29" s="134">
        <f>IF(OR(H29=0,D29=0),"-",IF((H29-D29)&lt;0,"Erreur",(H29-D29)))</f>
        <v>712432.69999992847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2333</v>
      </c>
      <c r="E33" s="159"/>
      <c r="F33" s="159"/>
      <c r="G33" s="159"/>
      <c r="H33" s="159">
        <v>2333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2260</v>
      </c>
      <c r="E35" s="159"/>
      <c r="F35" s="159"/>
      <c r="G35" s="159"/>
      <c r="H35" s="159">
        <v>2260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27997.200000000001</v>
      </c>
      <c r="E39" s="167"/>
      <c r="F39" s="167"/>
      <c r="G39" s="168"/>
      <c r="H39" s="166">
        <v>28021.200000000001</v>
      </c>
      <c r="I39" s="167"/>
      <c r="J39" s="167"/>
      <c r="K39" s="168"/>
      <c r="L39" s="134">
        <f>IF(OR(H39=0,D39=0),"-",IF((H39-D39)&lt;0,"Erreur",(H39-D39)))</f>
        <v>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27965.3</v>
      </c>
      <c r="E41" s="159"/>
      <c r="F41" s="159"/>
      <c r="G41" s="159"/>
      <c r="H41" s="159">
        <v>27989.3</v>
      </c>
      <c r="I41" s="159"/>
      <c r="J41" s="159"/>
      <c r="K41" s="159"/>
      <c r="L41" s="134">
        <f>IF(OR(H41=0,D41=0),"-",IF((H41-D41)&lt;0,"Erreur",(H41-D41)))</f>
        <v>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273</v>
      </c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60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278</v>
      </c>
      <c r="B46" s="188"/>
      <c r="C46" s="271" t="s">
        <v>279</v>
      </c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3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 t="s">
        <v>275</v>
      </c>
      <c r="B47" s="267"/>
      <c r="C47" s="271" t="s">
        <v>204</v>
      </c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5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 t="s">
        <v>275</v>
      </c>
      <c r="B48" s="181"/>
      <c r="C48" s="184" t="s">
        <v>276</v>
      </c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6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 t="s">
        <v>277</v>
      </c>
      <c r="B49" s="179"/>
      <c r="C49" s="184" t="s">
        <v>221</v>
      </c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 t="s">
        <v>281</v>
      </c>
      <c r="B50" s="183"/>
      <c r="C50" s="189" t="s">
        <v>280</v>
      </c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1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7" t="s">
        <v>282</v>
      </c>
      <c r="B51" s="181"/>
      <c r="C51" s="184" t="s">
        <v>120</v>
      </c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6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 t="s">
        <v>283</v>
      </c>
      <c r="B52" s="181"/>
      <c r="C52" s="172" t="s">
        <v>284</v>
      </c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4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 t="s">
        <v>285</v>
      </c>
      <c r="B53" s="176"/>
      <c r="C53" s="261" t="s">
        <v>221</v>
      </c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 t="s">
        <v>25</v>
      </c>
      <c r="B54" s="176"/>
      <c r="C54" s="184" t="s">
        <v>287</v>
      </c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/>
      <c r="B55" s="176"/>
      <c r="C55" s="184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60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/>
      <c r="B56" s="176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81"/>
      <c r="B57" s="181"/>
      <c r="C57" s="172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5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/>
      <c r="B58" s="176"/>
      <c r="C58" s="189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1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/>
      <c r="B59" s="176"/>
      <c r="C59" s="172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5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/>
      <c r="B60" s="181"/>
      <c r="C60" s="189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/>
      <c r="B61" s="176"/>
      <c r="C61" s="18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/>
      <c r="B62" s="176"/>
      <c r="C62" s="189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1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/>
      <c r="B69" s="219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/>
      <c r="B70" s="212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/>
      <c r="B82" s="231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C58" name="Plage2_2_2_1_2_1_2_1_2"/>
    <protectedRange password="EC6D" sqref="L61:N61 C61" name="Plage2_6_1_1_3"/>
    <protectedRange password="EC6D" sqref="C62" name="Plage2_2_2_1_2_1_2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" name="Plage2_4_2_1"/>
    <protectedRange password="EC6D" sqref="B51" name="Plage2_4_2_2"/>
    <protectedRange password="EC6D" sqref="B52" name="Plage2_4_2_3"/>
    <protectedRange password="EC6D" sqref="B53:B54" name="Plage2_4_2_4"/>
    <protectedRange password="EC6D" sqref="B55" name="Plage2_4_2_6"/>
    <protectedRange password="EC6D" sqref="B56" name="Plage2_4_2_7"/>
    <protectedRange password="EC6D" sqref="B57" name="Plage2_4_2_8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L57:N57 C57" name="Plage2_6_1_1_2_1"/>
    <protectedRange password="EC6D" sqref="L59:N59 C59" name="Plage2_6_1_1_3_1"/>
    <protectedRange password="EC6D" sqref="L56:N56 C56" name="Plage2_5_1"/>
    <protectedRange password="EC6D" sqref="S50" name="Plage2_2_2_2_1_2_1_1"/>
    <protectedRange password="EC6D" sqref="C60" name="Plage2_2_2_1_2_1_2_1_2_1"/>
    <protectedRange password="EC6D" sqref="C52:C53" name="Plage2_2_3_1_1_2"/>
    <protectedRange password="EC6D" sqref="C51" name="Plage2_2_1_1_1_1_1_1_1"/>
    <protectedRange password="EC6D" sqref="C49" name="Plage2_2_2_2_1_2_1"/>
    <protectedRange password="EC6D" sqref="C50" name="Plage2_2_2_1_2_1_2_1_1_1"/>
    <protectedRange password="EC6D" sqref="C45 C54:C55" name="Plage2_2_1_1_1_1_1_1_1_1_1"/>
    <protectedRange password="EC6D" sqref="C46:C48" name="Plage2_2_2_2_1_2_1_2"/>
  </protectedRanges>
  <mergeCells count="378"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</mergeCells>
  <conditionalFormatting sqref="A17 C17 E17:F17">
    <cfRule type="containsText" dxfId="293" priority="18" operator="containsText" text="Erreur">
      <formula>NOT(ISERROR(SEARCH("Erreur",A17)))</formula>
    </cfRule>
    <cfRule type="containsText" dxfId="292" priority="19" operator="containsText" text="Erreur">
      <formula>NOT(ISERROR(SEARCH("Erreur",A17)))</formula>
    </cfRule>
    <cfRule type="containsText" dxfId="291" priority="20" operator="containsText" text="Erreur">
      <formula>NOT(ISERROR(SEARCH("Erreur",A17)))</formula>
    </cfRule>
    <cfRule type="cellIs" dxfId="290" priority="21" operator="lessThan">
      <formula>0</formula>
    </cfRule>
  </conditionalFormatting>
  <conditionalFormatting sqref="R11">
    <cfRule type="containsText" dxfId="289" priority="17" operator="containsText" text="Erreur">
      <formula>NOT(ISERROR(SEARCH("Erreur",R11)))</formula>
    </cfRule>
  </conditionalFormatting>
  <conditionalFormatting sqref="H24:L24">
    <cfRule type="containsText" dxfId="288" priority="16" operator="containsText" text="Erreur">
      <formula>NOT(ISERROR(SEARCH("Erreur",H24)))</formula>
    </cfRule>
  </conditionalFormatting>
  <conditionalFormatting sqref="L29:N30 L32:N36">
    <cfRule type="cellIs" dxfId="287" priority="15" operator="equal">
      <formula>"Erreur"</formula>
    </cfRule>
  </conditionalFormatting>
  <conditionalFormatting sqref="M10 M11:O13">
    <cfRule type="cellIs" dxfId="286" priority="13" operator="equal">
      <formula>"-"</formula>
    </cfRule>
    <cfRule type="cellIs" dxfId="285" priority="14" operator="equal">
      <formula>"Erreur"</formula>
    </cfRule>
  </conditionalFormatting>
  <conditionalFormatting sqref="A17:D17 L25:O25 G17:H17 L29:N30 L32:N36">
    <cfRule type="cellIs" dxfId="284" priority="12" operator="equal">
      <formula>"-"</formula>
    </cfRule>
  </conditionalFormatting>
  <conditionalFormatting sqref="E17:F17">
    <cfRule type="cellIs" dxfId="283" priority="7" operator="equal">
      <formula>"-"</formula>
    </cfRule>
    <cfRule type="containsText" dxfId="282" priority="8" operator="containsText" text="Erreur">
      <formula>NOT(ISERROR(SEARCH("Erreur",E17)))</formula>
    </cfRule>
    <cfRule type="containsText" dxfId="281" priority="9" operator="containsText" text="Erreur">
      <formula>NOT(ISERROR(SEARCH("Erreur",E17)))</formula>
    </cfRule>
    <cfRule type="containsText" dxfId="280" priority="10" operator="containsText" text="Erreur">
      <formula>NOT(ISERROR(SEARCH("Erreur",E17)))</formula>
    </cfRule>
    <cfRule type="cellIs" dxfId="279" priority="11" operator="lessThan">
      <formula>0</formula>
    </cfRule>
  </conditionalFormatting>
  <conditionalFormatting sqref="D24:O24">
    <cfRule type="cellIs" dxfId="278" priority="5" operator="equal">
      <formula>"-"</formula>
    </cfRule>
    <cfRule type="containsText" dxfId="277" priority="6" operator="containsText" text="Erreur">
      <formula>NOT(ISERROR(SEARCH("Erreur",D24)))</formula>
    </cfRule>
  </conditionalFormatting>
  <conditionalFormatting sqref="L39:N42">
    <cfRule type="cellIs" dxfId="276" priority="3" operator="equal">
      <formula>"Erreur"</formula>
    </cfRule>
    <cfRule type="cellIs" dxfId="275" priority="4" operator="equal">
      <formula>"-"</formula>
    </cfRule>
  </conditionalFormatting>
  <conditionalFormatting sqref="D24:G24">
    <cfRule type="cellIs" dxfId="274" priority="1" operator="equal">
      <formula>"-"</formula>
    </cfRule>
    <cfRule type="containsText" dxfId="273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E205"/>
  <sheetViews>
    <sheetView topLeftCell="A49" zoomScale="120" zoomScaleNormal="120" workbookViewId="0">
      <selection activeCell="K11" sqref="K11:L11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288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6</v>
      </c>
      <c r="E3" s="38"/>
      <c r="F3" s="38"/>
      <c r="G3" s="37" t="s">
        <v>6</v>
      </c>
      <c r="H3" s="38"/>
      <c r="I3" s="38"/>
      <c r="J3" s="37" t="s">
        <v>18</v>
      </c>
      <c r="K3" s="38"/>
      <c r="L3" s="38"/>
      <c r="M3" s="37" t="s">
        <v>6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10</v>
      </c>
      <c r="E4" s="38"/>
      <c r="F4" s="38"/>
      <c r="G4" s="38" t="s">
        <v>8</v>
      </c>
      <c r="H4" s="38"/>
      <c r="I4" s="38"/>
      <c r="J4" s="38" t="s">
        <v>9</v>
      </c>
      <c r="K4" s="38"/>
      <c r="L4" s="38"/>
      <c r="M4" s="38" t="s">
        <v>27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13</v>
      </c>
      <c r="E5" s="38"/>
      <c r="F5" s="38"/>
      <c r="G5" s="38" t="s">
        <v>93</v>
      </c>
      <c r="H5" s="38"/>
      <c r="I5" s="38"/>
      <c r="J5" s="38" t="s">
        <v>14</v>
      </c>
      <c r="K5" s="38"/>
      <c r="L5" s="38"/>
      <c r="M5" s="38" t="s">
        <v>19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/>
      <c r="K6" s="38"/>
      <c r="L6" s="38"/>
      <c r="M6" s="38" t="s">
        <v>28</v>
      </c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440284</v>
      </c>
      <c r="D10" s="48"/>
      <c r="E10" s="47">
        <v>441039</v>
      </c>
      <c r="F10" s="49"/>
      <c r="G10" s="47">
        <v>441801</v>
      </c>
      <c r="H10" s="48"/>
      <c r="I10" s="47">
        <v>441801</v>
      </c>
      <c r="J10" s="48"/>
      <c r="K10" s="47">
        <v>441801</v>
      </c>
      <c r="L10" s="48"/>
      <c r="M10" s="50">
        <f>IF(OR(K10=0,C10=0),"-",IF((K10-C10)&lt;0,"Erreur",(K10-C10)))</f>
        <v>1517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228850</v>
      </c>
      <c r="D11" s="63"/>
      <c r="E11" s="64"/>
      <c r="F11" s="64"/>
      <c r="G11" s="65"/>
      <c r="H11" s="66"/>
      <c r="I11" s="64"/>
      <c r="J11" s="64"/>
      <c r="K11" s="62">
        <v>228850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70980</v>
      </c>
      <c r="D12" s="63"/>
      <c r="E12" s="64"/>
      <c r="F12" s="64"/>
      <c r="G12" s="65"/>
      <c r="H12" s="66"/>
      <c r="I12" s="64"/>
      <c r="J12" s="64"/>
      <c r="K12" s="62">
        <v>71432</v>
      </c>
      <c r="L12" s="63"/>
      <c r="M12" s="57">
        <f>IF(OR(K12=0,C12=0),"-",IF((K12-C12)&lt;0,"Erreur",(K12-C12)))</f>
        <v>452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39098067</v>
      </c>
      <c r="D13" s="85"/>
      <c r="E13" s="84">
        <v>39100938</v>
      </c>
      <c r="F13" s="85"/>
      <c r="G13" s="84">
        <v>39105210</v>
      </c>
      <c r="H13" s="85"/>
      <c r="I13" s="84">
        <v>39106405</v>
      </c>
      <c r="J13" s="85"/>
      <c r="K13" s="84">
        <v>39107064</v>
      </c>
      <c r="L13" s="85"/>
      <c r="M13" s="57">
        <f>IF(OR(K13=0,C13=0),"-",IF((K13-C13)&lt;0,"Erreur",(K13-C13)))</f>
        <v>8997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>
        <v>112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>
        <v>15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762</v>
      </c>
      <c r="B17" s="94"/>
      <c r="C17" s="93">
        <f>IF(OR(I10=0,G10=0),"-",IF((I10-G10)&lt;0,"Erreur",(I10-G10)))</f>
        <v>0</v>
      </c>
      <c r="D17" s="94"/>
      <c r="E17" s="95">
        <f>IF(OR(I10=0,K10=0,C10=0,E10=0),"-",IF(((K10-I10)+(E10-C10))&lt;0,"Erreur",((K10-I10)+(E10-C10))))</f>
        <v>755</v>
      </c>
      <c r="F17" s="96"/>
      <c r="G17" s="97">
        <f>SUM(A17:F17)</f>
        <v>1517</v>
      </c>
      <c r="H17" s="98"/>
      <c r="I17" s="3"/>
      <c r="J17" s="99" t="s">
        <v>44</v>
      </c>
      <c r="K17" s="100"/>
      <c r="L17" s="101" t="s">
        <v>299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112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00h45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14.700000000000728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39098067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39104110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454124.40000009537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6043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6043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1517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6.0430000000000001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1510.9570000000001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8.9969999999999999</v>
      </c>
    </row>
    <row r="29" spans="1:23" ht="28.35" customHeight="1" thickTop="1" thickBot="1">
      <c r="B29" s="131" t="s">
        <v>63</v>
      </c>
      <c r="C29" s="132"/>
      <c r="D29" s="133">
        <v>745296565.29999995</v>
      </c>
      <c r="E29" s="133"/>
      <c r="F29" s="133"/>
      <c r="G29" s="133"/>
      <c r="H29" s="133">
        <v>745750689.70000005</v>
      </c>
      <c r="I29" s="133"/>
      <c r="J29" s="133"/>
      <c r="K29" s="133"/>
      <c r="L29" s="134">
        <f>IF(OR(H29=0,D29=0),"-",IF((H29-D29)&lt;0,"Erreur",(H29-D29)))</f>
        <v>454124.40000009537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2333</v>
      </c>
      <c r="E33" s="159"/>
      <c r="F33" s="159"/>
      <c r="G33" s="159"/>
      <c r="H33" s="159">
        <v>2333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2260</v>
      </c>
      <c r="E35" s="159"/>
      <c r="F35" s="159"/>
      <c r="G35" s="159"/>
      <c r="H35" s="159">
        <v>2260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28021.200000000001</v>
      </c>
      <c r="E39" s="167"/>
      <c r="F39" s="167"/>
      <c r="G39" s="168"/>
      <c r="H39" s="166">
        <v>28035.9</v>
      </c>
      <c r="I39" s="167"/>
      <c r="J39" s="167"/>
      <c r="K39" s="168"/>
      <c r="L39" s="134">
        <f>IF(OR(H39=0,D39=0),"-",IF((H39-D39)&lt;0,"Erreur",(H39-D39)))</f>
        <v>14.700000000000728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27989.3</v>
      </c>
      <c r="E41" s="159"/>
      <c r="F41" s="159"/>
      <c r="G41" s="159"/>
      <c r="H41" s="159">
        <v>28004</v>
      </c>
      <c r="I41" s="159"/>
      <c r="J41" s="159"/>
      <c r="K41" s="159"/>
      <c r="L41" s="134">
        <f>IF(OR(H41=0,D41=0),"-",IF((H41-D41)&lt;0,"Erreur",(H41-D41)))</f>
        <v>14.700000000000728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287</v>
      </c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60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270</v>
      </c>
      <c r="B46" s="188"/>
      <c r="C46" s="264" t="s">
        <v>271</v>
      </c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6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 t="s">
        <v>265</v>
      </c>
      <c r="B47" s="267"/>
      <c r="C47" s="264" t="s">
        <v>221</v>
      </c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6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 t="s">
        <v>289</v>
      </c>
      <c r="B48" s="181"/>
      <c r="C48" s="184" t="s">
        <v>290</v>
      </c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6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 t="s">
        <v>291</v>
      </c>
      <c r="B49" s="179"/>
      <c r="C49" s="184" t="s">
        <v>292</v>
      </c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 t="s">
        <v>293</v>
      </c>
      <c r="B50" s="183"/>
      <c r="C50" s="189" t="s">
        <v>294</v>
      </c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1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7" t="s">
        <v>297</v>
      </c>
      <c r="B51" s="181"/>
      <c r="C51" s="184" t="s">
        <v>295</v>
      </c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6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 t="s">
        <v>298</v>
      </c>
      <c r="B52" s="181"/>
      <c r="C52" s="172" t="s">
        <v>296</v>
      </c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4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261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84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/>
      <c r="B55" s="176"/>
      <c r="C55" s="184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60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/>
      <c r="B56" s="176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81"/>
      <c r="B57" s="181"/>
      <c r="C57" s="172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5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/>
      <c r="B58" s="176"/>
      <c r="C58" s="189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1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/>
      <c r="B59" s="176"/>
      <c r="C59" s="172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5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/>
      <c r="B60" s="181"/>
      <c r="C60" s="189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/>
      <c r="B61" s="176"/>
      <c r="C61" s="18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/>
      <c r="B62" s="176"/>
      <c r="C62" s="189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1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/>
      <c r="B69" s="219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/>
      <c r="B70" s="212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/>
      <c r="B82" s="231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C58" name="Plage2_2_2_1_2_1_2_1_2"/>
    <protectedRange password="EC6D" sqref="L61:N61 C61" name="Plage2_6_1_1_3"/>
    <protectedRange password="EC6D" sqref="C62" name="Plage2_2_2_1_2_1_2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" name="Plage2_4_2_1"/>
    <protectedRange password="EC6D" sqref="B51" name="Plage2_4_2_2"/>
    <protectedRange password="EC6D" sqref="B52" name="Plage2_4_2_3"/>
    <protectedRange password="EC6D" sqref="B53:B54" name="Plage2_4_2_4"/>
    <protectedRange password="EC6D" sqref="B55" name="Plage2_4_2_6"/>
    <protectedRange password="EC6D" sqref="B56" name="Plage2_4_2_7"/>
    <protectedRange password="EC6D" sqref="B57" name="Plage2_4_2_8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L57:N57 C57" name="Plage2_6_1_1_2_1"/>
    <protectedRange password="EC6D" sqref="L59:N59 C59" name="Plage2_6_1_1_3_1"/>
    <protectedRange password="EC6D" sqref="L56:N56 C56" name="Plage2_5_1"/>
    <protectedRange password="EC6D" sqref="S50" name="Plage2_2_2_2_1_2_1_1"/>
    <protectedRange password="EC6D" sqref="C60" name="Plage2_2_2_1_2_1_2_1_2_1"/>
    <protectedRange password="EC6D" sqref="C52:C53" name="Plage2_2_3_1_1_2"/>
    <protectedRange password="EC6D" sqref="C51" name="Plage2_2_1_1_1_1_1_1_1"/>
    <protectedRange password="EC6D" sqref="C49" name="Plage2_2_2_2_1_2_1"/>
    <protectedRange password="EC6D" sqref="C50" name="Plage2_2_2_1_2_1_2_1_1_1"/>
    <protectedRange password="EC6D" sqref="C54:C55 C45" name="Plage2_2_1_1_1_1_1_1_1_1_1"/>
    <protectedRange password="EC6D" sqref="C48" name="Plage2_2_2_2_1_2_1_2"/>
    <protectedRange password="EC6D" sqref="C46" name="Plage2_2_2_2_1_2_1_2_1"/>
    <protectedRange password="EC6D" sqref="C47" name="Plage2_2_2_2_1_2_1_2_2"/>
  </protectedRanges>
  <mergeCells count="378"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</mergeCells>
  <conditionalFormatting sqref="A17 C17 E17:F17">
    <cfRule type="containsText" dxfId="272" priority="18" operator="containsText" text="Erreur">
      <formula>NOT(ISERROR(SEARCH("Erreur",A17)))</formula>
    </cfRule>
    <cfRule type="containsText" dxfId="271" priority="19" operator="containsText" text="Erreur">
      <formula>NOT(ISERROR(SEARCH("Erreur",A17)))</formula>
    </cfRule>
    <cfRule type="containsText" dxfId="270" priority="20" operator="containsText" text="Erreur">
      <formula>NOT(ISERROR(SEARCH("Erreur",A17)))</formula>
    </cfRule>
    <cfRule type="cellIs" dxfId="269" priority="21" operator="lessThan">
      <formula>0</formula>
    </cfRule>
  </conditionalFormatting>
  <conditionalFormatting sqref="R11">
    <cfRule type="containsText" dxfId="268" priority="17" operator="containsText" text="Erreur">
      <formula>NOT(ISERROR(SEARCH("Erreur",R11)))</formula>
    </cfRule>
  </conditionalFormatting>
  <conditionalFormatting sqref="H24:L24">
    <cfRule type="containsText" dxfId="267" priority="16" operator="containsText" text="Erreur">
      <formula>NOT(ISERROR(SEARCH("Erreur",H24)))</formula>
    </cfRule>
  </conditionalFormatting>
  <conditionalFormatting sqref="L29:N30 L32:N36">
    <cfRule type="cellIs" dxfId="266" priority="15" operator="equal">
      <formula>"Erreur"</formula>
    </cfRule>
  </conditionalFormatting>
  <conditionalFormatting sqref="M10 M11:O13">
    <cfRule type="cellIs" dxfId="265" priority="13" operator="equal">
      <formula>"-"</formula>
    </cfRule>
    <cfRule type="cellIs" dxfId="264" priority="14" operator="equal">
      <formula>"Erreur"</formula>
    </cfRule>
  </conditionalFormatting>
  <conditionalFormatting sqref="A17:D17 L25:O25 G17:H17 L29:N30 L32:N36">
    <cfRule type="cellIs" dxfId="263" priority="12" operator="equal">
      <formula>"-"</formula>
    </cfRule>
  </conditionalFormatting>
  <conditionalFormatting sqref="E17:F17">
    <cfRule type="cellIs" dxfId="262" priority="7" operator="equal">
      <formula>"-"</formula>
    </cfRule>
    <cfRule type="containsText" dxfId="261" priority="8" operator="containsText" text="Erreur">
      <formula>NOT(ISERROR(SEARCH("Erreur",E17)))</formula>
    </cfRule>
    <cfRule type="containsText" dxfId="260" priority="9" operator="containsText" text="Erreur">
      <formula>NOT(ISERROR(SEARCH("Erreur",E17)))</formula>
    </cfRule>
    <cfRule type="containsText" dxfId="259" priority="10" operator="containsText" text="Erreur">
      <formula>NOT(ISERROR(SEARCH("Erreur",E17)))</formula>
    </cfRule>
    <cfRule type="cellIs" dxfId="258" priority="11" operator="lessThan">
      <formula>0</formula>
    </cfRule>
  </conditionalFormatting>
  <conditionalFormatting sqref="D24:O24">
    <cfRule type="cellIs" dxfId="257" priority="5" operator="equal">
      <formula>"-"</formula>
    </cfRule>
    <cfRule type="containsText" dxfId="256" priority="6" operator="containsText" text="Erreur">
      <formula>NOT(ISERROR(SEARCH("Erreur",D24)))</formula>
    </cfRule>
  </conditionalFormatting>
  <conditionalFormatting sqref="L39:N42">
    <cfRule type="cellIs" dxfId="255" priority="3" operator="equal">
      <formula>"Erreur"</formula>
    </cfRule>
    <cfRule type="cellIs" dxfId="254" priority="4" operator="equal">
      <formula>"-"</formula>
    </cfRule>
  </conditionalFormatting>
  <conditionalFormatting sqref="D24:G24">
    <cfRule type="cellIs" dxfId="253" priority="1" operator="equal">
      <formula>"-"</formula>
    </cfRule>
    <cfRule type="containsText" dxfId="252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E205"/>
  <sheetViews>
    <sheetView topLeftCell="A37" zoomScale="120" zoomScaleNormal="120" workbookViewId="0">
      <selection activeCell="T8" sqref="T8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301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6</v>
      </c>
      <c r="E3" s="38"/>
      <c r="F3" s="38"/>
      <c r="G3" s="37" t="s">
        <v>5</v>
      </c>
      <c r="H3" s="38"/>
      <c r="I3" s="38"/>
      <c r="J3" s="37" t="s">
        <v>18</v>
      </c>
      <c r="K3" s="38"/>
      <c r="L3" s="38"/>
      <c r="M3" s="37" t="s">
        <v>5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27</v>
      </c>
      <c r="E4" s="38"/>
      <c r="F4" s="38"/>
      <c r="G4" s="38" t="s">
        <v>8</v>
      </c>
      <c r="H4" s="38"/>
      <c r="I4" s="38"/>
      <c r="J4" s="38" t="s">
        <v>10</v>
      </c>
      <c r="K4" s="38"/>
      <c r="L4" s="38"/>
      <c r="M4" s="38" t="s">
        <v>8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19</v>
      </c>
      <c r="E5" s="38"/>
      <c r="F5" s="38"/>
      <c r="G5" s="38" t="s">
        <v>93</v>
      </c>
      <c r="H5" s="38"/>
      <c r="I5" s="38"/>
      <c r="J5" s="38" t="s">
        <v>14</v>
      </c>
      <c r="K5" s="38"/>
      <c r="L5" s="38"/>
      <c r="M5" s="38" t="s">
        <v>19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 t="s">
        <v>28</v>
      </c>
      <c r="E6" s="38"/>
      <c r="F6" s="38"/>
      <c r="G6" s="38"/>
      <c r="H6" s="38"/>
      <c r="I6" s="38"/>
      <c r="J6" s="38"/>
      <c r="K6" s="38"/>
      <c r="L6" s="38"/>
      <c r="M6" s="38" t="s">
        <v>28</v>
      </c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441801</v>
      </c>
      <c r="D10" s="48"/>
      <c r="E10" s="47">
        <v>441801</v>
      </c>
      <c r="F10" s="49"/>
      <c r="G10" s="47">
        <v>441801</v>
      </c>
      <c r="H10" s="49"/>
      <c r="I10" s="47">
        <v>441801</v>
      </c>
      <c r="J10" s="48"/>
      <c r="K10" s="47">
        <v>441801</v>
      </c>
      <c r="L10" s="48"/>
      <c r="M10" s="50">
        <f>IF(OR(K10=0,C10=0),"-",IF((K10-C10)&lt;0,"Erreur",(K10-C10)))</f>
        <v>0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228850</v>
      </c>
      <c r="D11" s="63"/>
      <c r="E11" s="64"/>
      <c r="F11" s="64"/>
      <c r="G11" s="65"/>
      <c r="H11" s="66"/>
      <c r="I11" s="64"/>
      <c r="J11" s="64"/>
      <c r="K11" s="62">
        <v>228850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71432</v>
      </c>
      <c r="D12" s="63"/>
      <c r="E12" s="64"/>
      <c r="F12" s="64"/>
      <c r="G12" s="65"/>
      <c r="H12" s="66"/>
      <c r="I12" s="64"/>
      <c r="J12" s="64"/>
      <c r="K12" s="62">
        <v>71432</v>
      </c>
      <c r="L12" s="63"/>
      <c r="M12" s="57">
        <f>IF(OR(K12=0,C12=0),"-",IF((K12-C12)&lt;0,"Erreur",(K12-C12)))</f>
        <v>0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39107064</v>
      </c>
      <c r="D13" s="85"/>
      <c r="E13" s="84">
        <v>39108775</v>
      </c>
      <c r="F13" s="85"/>
      <c r="G13" s="84">
        <v>39112035</v>
      </c>
      <c r="H13" s="85"/>
      <c r="I13" s="84">
        <v>39112985</v>
      </c>
      <c r="J13" s="85"/>
      <c r="K13" s="84">
        <v>39113561</v>
      </c>
      <c r="L13" s="85"/>
      <c r="M13" s="57">
        <f>IF(OR(K13=0,C13=0),"-",IF((K13-C13)&lt;0,"Erreur",(K13-C13)))</f>
        <v>6497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/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/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0</v>
      </c>
      <c r="B17" s="94"/>
      <c r="C17" s="93">
        <f>IF(OR(I10=0,G10=0),"-",IF((I10-G10)&lt;0,"Erreur",(I10-G10)))</f>
        <v>0</v>
      </c>
      <c r="D17" s="94"/>
      <c r="E17" s="95">
        <f>IF(OR(I10=0,K10=0,C10=0,E10=0),"-",IF(((K10-I10)+(E10-C10))&lt;0,"Erreur",((K10-I10)+(E10-C10))))</f>
        <v>0</v>
      </c>
      <c r="F17" s="96"/>
      <c r="G17" s="97">
        <f>SUM(A17:F17)</f>
        <v>0</v>
      </c>
      <c r="H17" s="98"/>
      <c r="I17" s="3"/>
      <c r="J17" s="99" t="s">
        <v>44</v>
      </c>
      <c r="K17" s="100"/>
      <c r="L17" s="101"/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0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/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>
        <f>L17</f>
        <v>0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0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/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/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0</v>
      </c>
    </row>
    <row r="24" spans="1:23" ht="22.5" customHeight="1" thickBot="1">
      <c r="A24" s="120" t="s">
        <v>55</v>
      </c>
      <c r="B24" s="121"/>
      <c r="C24" s="121"/>
      <c r="D24" s="122" t="str">
        <f>IF(OR(D22=0,D23=0),"-",IF((D23-D22)&lt;0,"Erreur",(D23-D22)))</f>
        <v>-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 t="str">
        <f>IF(SUM(D24:O24)=0,"-",SUM(D24:O24))</f>
        <v>-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0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 t="e">
        <f>L25/1000</f>
        <v>#VALUE!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 t="e">
        <f>IF(AND(W25=0, W26="-"), "-",W25-(W26))</f>
        <v>#VALUE!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6.4969999999999999</v>
      </c>
    </row>
    <row r="29" spans="1:23" ht="28.35" customHeight="1" thickTop="1" thickBot="1">
      <c r="B29" s="131" t="s">
        <v>63</v>
      </c>
      <c r="C29" s="132"/>
      <c r="D29" s="133">
        <v>745750689.70000005</v>
      </c>
      <c r="E29" s="133"/>
      <c r="F29" s="133"/>
      <c r="G29" s="133"/>
      <c r="H29" s="133">
        <v>745750689.70000005</v>
      </c>
      <c r="I29" s="133"/>
      <c r="J29" s="133"/>
      <c r="K29" s="133"/>
      <c r="L29" s="134">
        <f>IF(OR(H29=0,D29=0),"-",IF((H29-D29)&lt;0,"Erreur",(H29-D29)))</f>
        <v>0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2333</v>
      </c>
      <c r="E33" s="159"/>
      <c r="F33" s="159"/>
      <c r="G33" s="159"/>
      <c r="H33" s="159">
        <v>2333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2260</v>
      </c>
      <c r="E35" s="159"/>
      <c r="F35" s="159"/>
      <c r="G35" s="159"/>
      <c r="H35" s="159">
        <v>2260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28035.9</v>
      </c>
      <c r="E39" s="167"/>
      <c r="F39" s="167"/>
      <c r="G39" s="168"/>
      <c r="H39" s="166">
        <v>28035.9</v>
      </c>
      <c r="I39" s="167"/>
      <c r="J39" s="167"/>
      <c r="K39" s="168"/>
      <c r="L39" s="134">
        <f>IF(OR(H39=0,D39=0),"-",IF((H39-D39)&lt;0,"Erreur",(H39-D39)))</f>
        <v>0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28004</v>
      </c>
      <c r="E41" s="159"/>
      <c r="F41" s="159"/>
      <c r="G41" s="159"/>
      <c r="H41" s="159">
        <v>28004</v>
      </c>
      <c r="I41" s="159"/>
      <c r="J41" s="159"/>
      <c r="K41" s="159"/>
      <c r="L41" s="134">
        <f>IF(OR(H41=0,D41=0),"-",IF((H41-D41)&lt;0,"Erreur",(H41-D41)))</f>
        <v>0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300</v>
      </c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60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25</v>
      </c>
      <c r="B46" s="188"/>
      <c r="C46" s="271" t="s">
        <v>300</v>
      </c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3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/>
      <c r="B47" s="267"/>
      <c r="C47" s="264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6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/>
      <c r="B48" s="181"/>
      <c r="C48" s="184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6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/>
      <c r="B49" s="179"/>
      <c r="C49" s="184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/>
      <c r="B50" s="183"/>
      <c r="C50" s="189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1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7"/>
      <c r="B51" s="181"/>
      <c r="C51" s="184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6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/>
      <c r="B52" s="181"/>
      <c r="C52" s="172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4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261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184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/>
      <c r="B55" s="176"/>
      <c r="C55" s="184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60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/>
      <c r="B56" s="176"/>
      <c r="C56" s="17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5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81"/>
      <c r="B57" s="181"/>
      <c r="C57" s="172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5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/>
      <c r="B58" s="176"/>
      <c r="C58" s="189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1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/>
      <c r="B59" s="176"/>
      <c r="C59" s="172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5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/>
      <c r="B60" s="181"/>
      <c r="C60" s="189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/>
      <c r="B61" s="176"/>
      <c r="C61" s="18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/>
      <c r="B62" s="176"/>
      <c r="C62" s="189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1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/>
      <c r="B69" s="219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/>
      <c r="B70" s="212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/>
      <c r="B82" s="231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C58" name="Plage2_2_2_1_2_1_2_1_2"/>
    <protectedRange password="EC6D" sqref="L61:N61 C61" name="Plage2_6_1_1_3"/>
    <protectedRange password="EC6D" sqref="C62" name="Plage2_2_2_1_2_1_2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" name="Plage2_4_2_1"/>
    <protectedRange password="EC6D" sqref="B51" name="Plage2_4_2_2"/>
    <protectedRange password="EC6D" sqref="B52" name="Plage2_4_2_3"/>
    <protectedRange password="EC6D" sqref="B53:B54" name="Plage2_4_2_4"/>
    <protectedRange password="EC6D" sqref="B55" name="Plage2_4_2_6"/>
    <protectedRange password="EC6D" sqref="B56" name="Plage2_4_2_7"/>
    <protectedRange password="EC6D" sqref="B57" name="Plage2_4_2_8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L57:N57 C57" name="Plage2_6_1_1_2_1"/>
    <protectedRange password="EC6D" sqref="L59:N59 C59" name="Plage2_6_1_1_3_1"/>
    <protectedRange password="EC6D" sqref="L56:N56 C56" name="Plage2_5_1"/>
    <protectedRange password="EC6D" sqref="S50" name="Plage2_2_2_2_1_2_1_1"/>
    <protectedRange password="EC6D" sqref="C60" name="Plage2_2_2_1_2_1_2_1_2_1"/>
    <protectedRange password="EC6D" sqref="C52:C53" name="Plage2_2_3_1_1_2"/>
    <protectedRange password="EC6D" sqref="C51" name="Plage2_2_1_1_1_1_1_1_1"/>
    <protectedRange password="EC6D" sqref="C49" name="Plage2_2_2_2_1_2_1"/>
    <protectedRange password="EC6D" sqref="C50" name="Plage2_2_2_1_2_1_2_1_1_1"/>
    <protectedRange password="EC6D" sqref="C54:C55 C45" name="Plage2_2_1_1_1_1_1_1_1_1_1"/>
    <protectedRange password="EC6D" sqref="C48" name="Plage2_2_2_2_1_2_1_2"/>
    <protectedRange password="EC6D" sqref="C46" name="Plage2_2_2_2_1_2_1_2_1"/>
    <protectedRange password="EC6D" sqref="C47" name="Plage2_2_2_2_1_2_1_2_2"/>
  </protectedRanges>
  <mergeCells count="378"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251" priority="18" operator="containsText" text="Erreur">
      <formula>NOT(ISERROR(SEARCH("Erreur",A17)))</formula>
    </cfRule>
    <cfRule type="containsText" dxfId="250" priority="19" operator="containsText" text="Erreur">
      <formula>NOT(ISERROR(SEARCH("Erreur",A17)))</formula>
    </cfRule>
    <cfRule type="containsText" dxfId="249" priority="20" operator="containsText" text="Erreur">
      <formula>NOT(ISERROR(SEARCH("Erreur",A17)))</formula>
    </cfRule>
    <cfRule type="cellIs" dxfId="248" priority="21" operator="lessThan">
      <formula>0</formula>
    </cfRule>
  </conditionalFormatting>
  <conditionalFormatting sqref="R11">
    <cfRule type="containsText" dxfId="247" priority="17" operator="containsText" text="Erreur">
      <formula>NOT(ISERROR(SEARCH("Erreur",R11)))</formula>
    </cfRule>
  </conditionalFormatting>
  <conditionalFormatting sqref="H24:L24">
    <cfRule type="containsText" dxfId="246" priority="16" operator="containsText" text="Erreur">
      <formula>NOT(ISERROR(SEARCH("Erreur",H24)))</formula>
    </cfRule>
  </conditionalFormatting>
  <conditionalFormatting sqref="L29:N30 L32:N36">
    <cfRule type="cellIs" dxfId="245" priority="15" operator="equal">
      <formula>"Erreur"</formula>
    </cfRule>
  </conditionalFormatting>
  <conditionalFormatting sqref="M10 M11:O13">
    <cfRule type="cellIs" dxfId="244" priority="13" operator="equal">
      <formula>"-"</formula>
    </cfRule>
    <cfRule type="cellIs" dxfId="243" priority="14" operator="equal">
      <formula>"Erreur"</formula>
    </cfRule>
  </conditionalFormatting>
  <conditionalFormatting sqref="A17:D17 L25:O25 G17:H17 L29:N30 L32:N36">
    <cfRule type="cellIs" dxfId="242" priority="12" operator="equal">
      <formula>"-"</formula>
    </cfRule>
  </conditionalFormatting>
  <conditionalFormatting sqref="E17:F17">
    <cfRule type="cellIs" dxfId="241" priority="7" operator="equal">
      <formula>"-"</formula>
    </cfRule>
    <cfRule type="containsText" dxfId="240" priority="8" operator="containsText" text="Erreur">
      <formula>NOT(ISERROR(SEARCH("Erreur",E17)))</formula>
    </cfRule>
    <cfRule type="containsText" dxfId="239" priority="9" operator="containsText" text="Erreur">
      <formula>NOT(ISERROR(SEARCH("Erreur",E17)))</formula>
    </cfRule>
    <cfRule type="containsText" dxfId="238" priority="10" operator="containsText" text="Erreur">
      <formula>NOT(ISERROR(SEARCH("Erreur",E17)))</formula>
    </cfRule>
    <cfRule type="cellIs" dxfId="237" priority="11" operator="lessThan">
      <formula>0</formula>
    </cfRule>
  </conditionalFormatting>
  <conditionalFormatting sqref="D24:O24">
    <cfRule type="cellIs" dxfId="236" priority="5" operator="equal">
      <formula>"-"</formula>
    </cfRule>
    <cfRule type="containsText" dxfId="235" priority="6" operator="containsText" text="Erreur">
      <formula>NOT(ISERROR(SEARCH("Erreur",D24)))</formula>
    </cfRule>
  </conditionalFormatting>
  <conditionalFormatting sqref="L39:N42">
    <cfRule type="cellIs" dxfId="234" priority="3" operator="equal">
      <formula>"Erreur"</formula>
    </cfRule>
    <cfRule type="cellIs" dxfId="233" priority="4" operator="equal">
      <formula>"-"</formula>
    </cfRule>
  </conditionalFormatting>
  <conditionalFormatting sqref="D24:G24">
    <cfRule type="cellIs" dxfId="232" priority="1" operator="equal">
      <formula>"-"</formula>
    </cfRule>
    <cfRule type="containsText" dxfId="231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E205"/>
  <sheetViews>
    <sheetView topLeftCell="A37" zoomScale="120" zoomScaleNormal="120" workbookViewId="0">
      <selection activeCell="C53" sqref="C53:O53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302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5</v>
      </c>
      <c r="E3" s="38"/>
      <c r="F3" s="38"/>
      <c r="G3" s="37" t="s">
        <v>18</v>
      </c>
      <c r="H3" s="38"/>
      <c r="I3" s="38"/>
      <c r="J3" s="37" t="s">
        <v>6</v>
      </c>
      <c r="K3" s="38"/>
      <c r="L3" s="38"/>
      <c r="M3" s="37" t="s">
        <v>5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8</v>
      </c>
      <c r="E4" s="38"/>
      <c r="F4" s="38"/>
      <c r="G4" s="38" t="s">
        <v>9</v>
      </c>
      <c r="H4" s="38"/>
      <c r="I4" s="38"/>
      <c r="J4" s="38" t="s">
        <v>10</v>
      </c>
      <c r="K4" s="38"/>
      <c r="L4" s="38"/>
      <c r="M4" s="38" t="s">
        <v>8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19</v>
      </c>
      <c r="E5" s="38"/>
      <c r="F5" s="38"/>
      <c r="G5" s="38" t="s">
        <v>14</v>
      </c>
      <c r="H5" s="38"/>
      <c r="I5" s="38"/>
      <c r="J5" s="38" t="s">
        <v>13</v>
      </c>
      <c r="K5" s="38"/>
      <c r="L5" s="38"/>
      <c r="M5" s="38" t="s">
        <v>93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 t="s">
        <v>28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441801</v>
      </c>
      <c r="D10" s="48"/>
      <c r="E10" s="47">
        <v>441801</v>
      </c>
      <c r="F10" s="49"/>
      <c r="G10" s="47">
        <v>441835</v>
      </c>
      <c r="H10" s="49"/>
      <c r="I10" s="47">
        <v>442229</v>
      </c>
      <c r="J10" s="48"/>
      <c r="K10" s="47">
        <v>442367</v>
      </c>
      <c r="L10" s="48"/>
      <c r="M10" s="50">
        <f>IF(OR(K10=0,C10=0),"-",IF((K10-C10)&lt;0,"Erreur",(K10-C10)))</f>
        <v>566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228850</v>
      </c>
      <c r="D11" s="63"/>
      <c r="E11" s="64"/>
      <c r="F11" s="64"/>
      <c r="G11" s="65"/>
      <c r="H11" s="66"/>
      <c r="I11" s="64"/>
      <c r="J11" s="64"/>
      <c r="K11" s="62">
        <v>228850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71432</v>
      </c>
      <c r="D12" s="63"/>
      <c r="E12" s="64"/>
      <c r="F12" s="64"/>
      <c r="G12" s="65"/>
      <c r="H12" s="66"/>
      <c r="I12" s="64"/>
      <c r="J12" s="64"/>
      <c r="K12" s="62">
        <v>71530</v>
      </c>
      <c r="L12" s="63"/>
      <c r="M12" s="57">
        <f>IF(OR(K12=0,C12=0),"-",IF((K12-C12)&lt;0,"Erreur",(K12-C12)))</f>
        <v>98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39113561</v>
      </c>
      <c r="D13" s="85"/>
      <c r="E13" s="84">
        <v>39114990</v>
      </c>
      <c r="F13" s="85"/>
      <c r="G13" s="84">
        <v>39118648</v>
      </c>
      <c r="H13" s="85"/>
      <c r="I13" s="84">
        <v>39120324</v>
      </c>
      <c r="J13" s="85"/>
      <c r="K13" s="84">
        <v>39121180</v>
      </c>
      <c r="L13" s="85"/>
      <c r="M13" s="57">
        <f>IF(OR(K13=0,C13=0),"-",IF((K13-C13)&lt;0,"Erreur",(K13-C13)))</f>
        <v>7619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317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319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34</v>
      </c>
      <c r="B17" s="94"/>
      <c r="C17" s="93">
        <f>IF(OR(I10=0,G10=0),"-",IF((I10-G10)&lt;0,"Erreur",(I10-G10)))</f>
        <v>394</v>
      </c>
      <c r="D17" s="94"/>
      <c r="E17" s="95">
        <f>IF(OR(I10=0,K10=0,C10=0,E10=0),"-",IF(((K10-I10)+(E10-C10))&lt;0,"Erreur",((K10-I10)+(E10-C10))))</f>
        <v>138</v>
      </c>
      <c r="F17" s="96"/>
      <c r="G17" s="97">
        <f>SUM(A17:F17)</f>
        <v>566</v>
      </c>
      <c r="H17" s="98"/>
      <c r="I17" s="3"/>
      <c r="J17" s="99" t="s">
        <v>44</v>
      </c>
      <c r="K17" s="100"/>
      <c r="L17" s="101" t="s">
        <v>318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112MW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20h50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6.5999999999985448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1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39118497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39121180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176247.59999990463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2683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2683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566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2.6829999999999998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563.31700000000001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7.6189999999999998</v>
      </c>
    </row>
    <row r="29" spans="1:23" ht="28.35" customHeight="1" thickTop="1" thickBot="1">
      <c r="B29" s="131" t="s">
        <v>63</v>
      </c>
      <c r="C29" s="132"/>
      <c r="D29" s="133">
        <v>745750689.70000005</v>
      </c>
      <c r="E29" s="133"/>
      <c r="F29" s="133"/>
      <c r="G29" s="133"/>
      <c r="H29" s="133">
        <v>745926937.29999995</v>
      </c>
      <c r="I29" s="133"/>
      <c r="J29" s="133"/>
      <c r="K29" s="133"/>
      <c r="L29" s="134">
        <f>IF(OR(H29=0,D29=0),"-",IF((H29-D29)&lt;0,"Erreur",(H29-D29)))</f>
        <v>176247.59999990463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2333</v>
      </c>
      <c r="E33" s="159"/>
      <c r="F33" s="159"/>
      <c r="G33" s="159"/>
      <c r="H33" s="159">
        <v>2334</v>
      </c>
      <c r="I33" s="159"/>
      <c r="J33" s="159"/>
      <c r="K33" s="159"/>
      <c r="L33" s="134">
        <f>IF(OR(H33=0,D33=0),"-",IF((H33-D33)&lt;0,"Erreur",(H33-D33)))</f>
        <v>1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2260</v>
      </c>
      <c r="E35" s="159"/>
      <c r="F35" s="159"/>
      <c r="G35" s="159"/>
      <c r="H35" s="159">
        <v>2261</v>
      </c>
      <c r="I35" s="159"/>
      <c r="J35" s="159"/>
      <c r="K35" s="159"/>
      <c r="L35" s="134">
        <f>IF(OR(H35=0,D35=0),"-",IF((H35-D35)&lt;0,"Erreur",(H35-D35)))</f>
        <v>1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  <c r="T36" s="31"/>
    </row>
    <row r="37" spans="1:31" ht="28.35" customHeight="1" thickBot="1">
      <c r="B37" s="163" t="s">
        <v>71</v>
      </c>
      <c r="C37" s="164"/>
      <c r="D37" s="151">
        <v>1</v>
      </c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28035.9</v>
      </c>
      <c r="E39" s="167"/>
      <c r="F39" s="167"/>
      <c r="G39" s="168"/>
      <c r="H39" s="166">
        <v>28042.5</v>
      </c>
      <c r="I39" s="167"/>
      <c r="J39" s="167"/>
      <c r="K39" s="168"/>
      <c r="L39" s="134">
        <f>IF(OR(H39=0,D39=0),"-",IF((H39-D39)&lt;0,"Erreur",(H39-D39)))</f>
        <v>6.5999999999985448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28004</v>
      </c>
      <c r="E41" s="159"/>
      <c r="F41" s="159"/>
      <c r="G41" s="159"/>
      <c r="H41" s="159">
        <v>28010.6</v>
      </c>
      <c r="I41" s="159"/>
      <c r="J41" s="159"/>
      <c r="K41" s="159"/>
      <c r="L41" s="134">
        <f>IF(OR(H41=0,D41=0),"-",IF((H41-D41)&lt;0,"Erreur",(H41-D41)))</f>
        <v>6.5999999999985448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4" t="s">
        <v>300</v>
      </c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60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163</v>
      </c>
      <c r="B46" s="188"/>
      <c r="C46" s="271" t="s">
        <v>313</v>
      </c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3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 t="s">
        <v>304</v>
      </c>
      <c r="B47" s="267"/>
      <c r="C47" s="271" t="s">
        <v>305</v>
      </c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5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 t="s">
        <v>303</v>
      </c>
      <c r="B48" s="181"/>
      <c r="C48" s="271" t="s">
        <v>315</v>
      </c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5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 t="s">
        <v>307</v>
      </c>
      <c r="B49" s="179"/>
      <c r="C49" s="271" t="s">
        <v>308</v>
      </c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3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 t="s">
        <v>307</v>
      </c>
      <c r="B50" s="183"/>
      <c r="C50" s="189" t="s">
        <v>309</v>
      </c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1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7" t="s">
        <v>310</v>
      </c>
      <c r="B51" s="181"/>
      <c r="C51" s="271" t="s">
        <v>106</v>
      </c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3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 t="s">
        <v>311</v>
      </c>
      <c r="B52" s="181"/>
      <c r="C52" s="180" t="s">
        <v>312</v>
      </c>
      <c r="D52" s="276"/>
      <c r="E52" s="276"/>
      <c r="F52" s="276"/>
      <c r="G52" s="276"/>
      <c r="H52" s="276"/>
      <c r="I52" s="276"/>
      <c r="J52" s="276"/>
      <c r="K52" s="276"/>
      <c r="L52" s="276"/>
      <c r="M52" s="276"/>
      <c r="N52" s="276"/>
      <c r="O52" s="277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 t="s">
        <v>25</v>
      </c>
      <c r="B53" s="176"/>
      <c r="C53" s="278" t="s">
        <v>320</v>
      </c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80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 t="s">
        <v>337</v>
      </c>
      <c r="B54" s="176"/>
      <c r="C54" s="271" t="s">
        <v>308</v>
      </c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3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 t="s">
        <v>338</v>
      </c>
      <c r="B55" s="176"/>
      <c r="C55" s="271" t="s">
        <v>339</v>
      </c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 t="s">
        <v>340</v>
      </c>
      <c r="B56" s="176"/>
      <c r="C56" s="180" t="s">
        <v>341</v>
      </c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7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81"/>
      <c r="B57" s="181"/>
      <c r="C57" s="180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7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/>
      <c r="B58" s="176"/>
      <c r="C58" s="189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1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/>
      <c r="B59" s="176"/>
      <c r="C59" s="180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7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/>
      <c r="B60" s="181"/>
      <c r="C60" s="189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/>
      <c r="B61" s="176"/>
      <c r="C61" s="18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/>
      <c r="B62" s="176"/>
      <c r="C62" s="189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1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>
        <v>266991</v>
      </c>
      <c r="B69" s="219"/>
      <c r="C69" s="220" t="s">
        <v>306</v>
      </c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>
        <v>267007</v>
      </c>
      <c r="B70" s="212"/>
      <c r="C70" s="213" t="s">
        <v>314</v>
      </c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/>
      <c r="B82" s="231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C58" name="Plage2_2_2_1_2_1_2_1_2"/>
    <protectedRange password="EC6D" sqref="L61:N61 C61" name="Plage2_6_1_1_3"/>
    <protectedRange password="EC6D" sqref="C62" name="Plage2_2_2_1_2_1_2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" name="Plage2_4_2_1"/>
    <protectedRange password="EC6D" sqref="B51" name="Plage2_4_2_2"/>
    <protectedRange password="EC6D" sqref="B52" name="Plage2_4_2_3"/>
    <protectedRange password="EC6D" sqref="B53:B54" name="Plage2_4_2_4"/>
    <protectedRange password="EC6D" sqref="B55" name="Plage2_4_2_6"/>
    <protectedRange password="EC6D" sqref="B56" name="Plage2_4_2_7"/>
    <protectedRange password="EC6D" sqref="B57" name="Plage2_4_2_8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L57:N57 C57" name="Plage2_6_1_1_2_1"/>
    <protectedRange password="EC6D" sqref="L59:N59 C59" name="Plage2_6_1_1_3_1"/>
    <protectedRange password="EC6D" sqref="L56:N56 C56" name="Plage2_5_1"/>
    <protectedRange password="EC6D" sqref="S50" name="Plage2_2_2_2_1_2_1_1"/>
    <protectedRange password="EC6D" sqref="C60" name="Plage2_2_2_1_2_1_2_1_2_1"/>
    <protectedRange password="EC6D" sqref="C52:C53" name="Plage2_2_3_1_1_2"/>
    <protectedRange password="EC6D" sqref="C51" name="Plage2_2_1_1_1_1_1_1_1"/>
    <protectedRange password="EC6D" sqref="C49" name="Plage2_2_2_2_1_2_1"/>
    <protectedRange password="EC6D" sqref="C50" name="Plage2_2_2_1_2_1_2_1_1_1"/>
    <protectedRange password="EC6D" sqref="C54:C55 C45" name="Plage2_2_1_1_1_1_1_1_1_1_1"/>
    <protectedRange password="EC6D" sqref="C46" name="Plage2_2_2_2_1_2_1_2_1"/>
    <protectedRange password="EC6D" sqref="C47:C48" name="Plage2_2_2_2_1_2_1_2_2"/>
  </protectedRanges>
  <mergeCells count="378"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230" priority="18" operator="containsText" text="Erreur">
      <formula>NOT(ISERROR(SEARCH("Erreur",A17)))</formula>
    </cfRule>
    <cfRule type="containsText" dxfId="229" priority="19" operator="containsText" text="Erreur">
      <formula>NOT(ISERROR(SEARCH("Erreur",A17)))</formula>
    </cfRule>
    <cfRule type="containsText" dxfId="228" priority="20" operator="containsText" text="Erreur">
      <formula>NOT(ISERROR(SEARCH("Erreur",A17)))</formula>
    </cfRule>
    <cfRule type="cellIs" dxfId="227" priority="21" operator="lessThan">
      <formula>0</formula>
    </cfRule>
  </conditionalFormatting>
  <conditionalFormatting sqref="R11">
    <cfRule type="containsText" dxfId="226" priority="17" operator="containsText" text="Erreur">
      <formula>NOT(ISERROR(SEARCH("Erreur",R11)))</formula>
    </cfRule>
  </conditionalFormatting>
  <conditionalFormatting sqref="H24:L24">
    <cfRule type="containsText" dxfId="225" priority="16" operator="containsText" text="Erreur">
      <formula>NOT(ISERROR(SEARCH("Erreur",H24)))</formula>
    </cfRule>
  </conditionalFormatting>
  <conditionalFormatting sqref="L29:N30 L32:N36">
    <cfRule type="cellIs" dxfId="224" priority="15" operator="equal">
      <formula>"Erreur"</formula>
    </cfRule>
  </conditionalFormatting>
  <conditionalFormatting sqref="M10 M11:O13">
    <cfRule type="cellIs" dxfId="223" priority="13" operator="equal">
      <formula>"-"</formula>
    </cfRule>
    <cfRule type="cellIs" dxfId="222" priority="14" operator="equal">
      <formula>"Erreur"</formula>
    </cfRule>
  </conditionalFormatting>
  <conditionalFormatting sqref="A17:D17 L25:O25 G17:H17 L29:N30 L32:N36">
    <cfRule type="cellIs" dxfId="221" priority="12" operator="equal">
      <formula>"-"</formula>
    </cfRule>
  </conditionalFormatting>
  <conditionalFormatting sqref="E17:F17">
    <cfRule type="cellIs" dxfId="220" priority="7" operator="equal">
      <formula>"-"</formula>
    </cfRule>
    <cfRule type="containsText" dxfId="219" priority="8" operator="containsText" text="Erreur">
      <formula>NOT(ISERROR(SEARCH("Erreur",E17)))</formula>
    </cfRule>
    <cfRule type="containsText" dxfId="218" priority="9" operator="containsText" text="Erreur">
      <formula>NOT(ISERROR(SEARCH("Erreur",E17)))</formula>
    </cfRule>
    <cfRule type="containsText" dxfId="217" priority="10" operator="containsText" text="Erreur">
      <formula>NOT(ISERROR(SEARCH("Erreur",E17)))</formula>
    </cfRule>
    <cfRule type="cellIs" dxfId="216" priority="11" operator="lessThan">
      <formula>0</formula>
    </cfRule>
  </conditionalFormatting>
  <conditionalFormatting sqref="D24:O24">
    <cfRule type="cellIs" dxfId="215" priority="5" operator="equal">
      <formula>"-"</formula>
    </cfRule>
    <cfRule type="containsText" dxfId="214" priority="6" operator="containsText" text="Erreur">
      <formula>NOT(ISERROR(SEARCH("Erreur",D24)))</formula>
    </cfRule>
  </conditionalFormatting>
  <conditionalFormatting sqref="L39:N42">
    <cfRule type="cellIs" dxfId="213" priority="3" operator="equal">
      <formula>"Erreur"</formula>
    </cfRule>
    <cfRule type="cellIs" dxfId="212" priority="4" operator="equal">
      <formula>"-"</formula>
    </cfRule>
  </conditionalFormatting>
  <conditionalFormatting sqref="D24:G24">
    <cfRule type="cellIs" dxfId="211" priority="1" operator="equal">
      <formula>"-"</formula>
    </cfRule>
    <cfRule type="containsText" dxfId="210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E205"/>
  <sheetViews>
    <sheetView topLeftCell="A40" zoomScale="120" zoomScaleNormal="120" workbookViewId="0">
      <selection activeCell="C68" sqref="C68:O68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316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5</v>
      </c>
      <c r="E3" s="38"/>
      <c r="F3" s="38"/>
      <c r="G3" s="37" t="s">
        <v>18</v>
      </c>
      <c r="H3" s="38"/>
      <c r="I3" s="38"/>
      <c r="J3" s="37" t="s">
        <v>18</v>
      </c>
      <c r="K3" s="38"/>
      <c r="L3" s="38"/>
      <c r="M3" s="37" t="s">
        <v>5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8</v>
      </c>
      <c r="E4" s="38"/>
      <c r="F4" s="38"/>
      <c r="G4" s="38" t="s">
        <v>9</v>
      </c>
      <c r="H4" s="38"/>
      <c r="I4" s="38"/>
      <c r="J4" s="38" t="s">
        <v>10</v>
      </c>
      <c r="K4" s="38"/>
      <c r="L4" s="38"/>
      <c r="M4" s="38" t="s">
        <v>8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93</v>
      </c>
      <c r="E5" s="38"/>
      <c r="F5" s="38"/>
      <c r="G5" s="38" t="s">
        <v>14</v>
      </c>
      <c r="H5" s="38"/>
      <c r="I5" s="38"/>
      <c r="J5" s="38" t="s">
        <v>13</v>
      </c>
      <c r="K5" s="38"/>
      <c r="L5" s="38"/>
      <c r="M5" s="38" t="s">
        <v>93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442367</v>
      </c>
      <c r="D10" s="48"/>
      <c r="E10" s="47">
        <v>442391</v>
      </c>
      <c r="F10" s="49"/>
      <c r="G10" s="47">
        <v>442434</v>
      </c>
      <c r="H10" s="49"/>
      <c r="I10" s="47">
        <v>442816</v>
      </c>
      <c r="J10" s="48"/>
      <c r="K10" s="47">
        <v>442915</v>
      </c>
      <c r="L10" s="48"/>
      <c r="M10" s="50">
        <f>IF(OR(K10=0,C10=0),"-",IF((K10-C10)&lt;0,"Erreur",(K10-C10)))</f>
        <v>548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228850</v>
      </c>
      <c r="D11" s="63"/>
      <c r="E11" s="64"/>
      <c r="F11" s="64"/>
      <c r="G11" s="65"/>
      <c r="H11" s="66"/>
      <c r="I11" s="64"/>
      <c r="J11" s="64"/>
      <c r="K11" s="62">
        <v>228852</v>
      </c>
      <c r="L11" s="63"/>
      <c r="M11" s="57">
        <f>IF(OR(K11=0,C11=0),"-",IF((K11-C11)&lt;0,"Erreur",(K11-C11)))</f>
        <v>2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71530</v>
      </c>
      <c r="D12" s="63"/>
      <c r="E12" s="64"/>
      <c r="F12" s="64"/>
      <c r="G12" s="65"/>
      <c r="H12" s="66"/>
      <c r="I12" s="64"/>
      <c r="J12" s="64"/>
      <c r="K12" s="62">
        <v>71600</v>
      </c>
      <c r="L12" s="63"/>
      <c r="M12" s="57">
        <f>IF(OR(K12=0,C12=0),"-",IF((K12-C12)&lt;0,"Erreur",(K12-C12)))</f>
        <v>70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39121180</v>
      </c>
      <c r="D13" s="85"/>
      <c r="E13" s="84">
        <v>39123440</v>
      </c>
      <c r="F13" s="85"/>
      <c r="G13" s="84">
        <v>39127014</v>
      </c>
      <c r="H13" s="85"/>
      <c r="I13" s="84">
        <v>39128670</v>
      </c>
      <c r="J13" s="85"/>
      <c r="K13" s="84">
        <v>39129438</v>
      </c>
      <c r="L13" s="85"/>
      <c r="M13" s="57">
        <f>IF(OR(K13=0,C13=0),"-",IF((K13-C13)&lt;0,"Erreur",(K13-C13)))</f>
        <v>8258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353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355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43</v>
      </c>
      <c r="B17" s="94"/>
      <c r="C17" s="93">
        <f>IF(OR(I10=0,G10=0),"-",IF((I10-G10)&lt;0,"Erreur",(I10-G10)))</f>
        <v>382</v>
      </c>
      <c r="D17" s="94"/>
      <c r="E17" s="95">
        <f>IF(OR(I10=0,K10=0,C10=0,E10=0),"-",IF(((K10-I10)+(E10-C10))&lt;0,"Erreur",((K10-I10)+(E10-C10))))</f>
        <v>123</v>
      </c>
      <c r="F17" s="96"/>
      <c r="G17" s="97">
        <f>SUM(A17:F17)</f>
        <v>548</v>
      </c>
      <c r="H17" s="98"/>
      <c r="I17" s="3"/>
      <c r="J17" s="99" t="s">
        <v>44</v>
      </c>
      <c r="K17" s="100"/>
      <c r="L17" s="101" t="s">
        <v>354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114MW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34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17h44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6.4000000000014552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1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39121180</v>
      </c>
      <c r="E22" s="110"/>
      <c r="F22" s="110"/>
      <c r="G22" s="111"/>
      <c r="H22" s="62">
        <v>39126840</v>
      </c>
      <c r="I22" s="110"/>
      <c r="J22" s="110"/>
      <c r="K22" s="111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/>
      <c r="E23" s="110"/>
      <c r="F23" s="110"/>
      <c r="G23" s="111"/>
      <c r="H23" s="62">
        <v>39129134</v>
      </c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168965.30000007153</v>
      </c>
    </row>
    <row r="24" spans="1:23" ht="22.5" customHeight="1" thickBot="1">
      <c r="A24" s="120" t="s">
        <v>55</v>
      </c>
      <c r="B24" s="121"/>
      <c r="C24" s="121"/>
      <c r="D24" s="122" t="str">
        <f>IF(OR(D22=0,D23=0),"-",IF((D23-D22)&lt;0,"Erreur",(D23-D22)))</f>
        <v>-</v>
      </c>
      <c r="E24" s="123"/>
      <c r="F24" s="123"/>
      <c r="G24" s="124"/>
      <c r="H24" s="122">
        <f>IF(OR(H22=0,H23=0),"-",IF((H23-H22)&lt;0,"Erreur",(H23-H22)))</f>
        <v>2294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2294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548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2.294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545.70600000000002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8.2579999999999991</v>
      </c>
    </row>
    <row r="29" spans="1:23" ht="28.35" customHeight="1" thickTop="1" thickBot="1">
      <c r="B29" s="131" t="s">
        <v>63</v>
      </c>
      <c r="C29" s="132"/>
      <c r="D29" s="133">
        <v>745926937.29999995</v>
      </c>
      <c r="E29" s="133"/>
      <c r="F29" s="133"/>
      <c r="G29" s="133"/>
      <c r="H29" s="133">
        <v>746095902.60000002</v>
      </c>
      <c r="I29" s="133"/>
      <c r="J29" s="133"/>
      <c r="K29" s="133"/>
      <c r="L29" s="134">
        <f>IF(OR(H29=0,D29=0),"-",IF((H29-D29)&lt;0,"Erreur",(H29-D29)))</f>
        <v>168965.30000007153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2334</v>
      </c>
      <c r="E33" s="159"/>
      <c r="F33" s="159"/>
      <c r="G33" s="159"/>
      <c r="H33" s="159">
        <v>2335</v>
      </c>
      <c r="I33" s="159"/>
      <c r="J33" s="159"/>
      <c r="K33" s="159"/>
      <c r="L33" s="134">
        <f>IF(OR(H33=0,D33=0),"-",IF((H33-D33)&lt;0,"Erreur",(H33-D33)))</f>
        <v>1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2261</v>
      </c>
      <c r="E35" s="159"/>
      <c r="F35" s="159"/>
      <c r="G35" s="159"/>
      <c r="H35" s="159">
        <v>2262</v>
      </c>
      <c r="I35" s="159"/>
      <c r="J35" s="159"/>
      <c r="K35" s="159"/>
      <c r="L35" s="134">
        <f>IF(OR(H35=0,D35=0),"-",IF((H35-D35)&lt;0,"Erreur",(H35-D35)))</f>
        <v>1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>
        <v>1</v>
      </c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28042.5</v>
      </c>
      <c r="E39" s="167"/>
      <c r="F39" s="167"/>
      <c r="G39" s="168"/>
      <c r="H39" s="166">
        <v>28048.9</v>
      </c>
      <c r="I39" s="167"/>
      <c r="J39" s="167"/>
      <c r="K39" s="168"/>
      <c r="L39" s="134">
        <f>IF(OR(H39=0,D39=0),"-",IF((H39-D39)&lt;0,"Erreur",(H39-D39)))</f>
        <v>6.4000000000014552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28010.6</v>
      </c>
      <c r="E41" s="159"/>
      <c r="F41" s="159"/>
      <c r="G41" s="159"/>
      <c r="H41" s="159">
        <v>28017</v>
      </c>
      <c r="I41" s="159"/>
      <c r="J41" s="159"/>
      <c r="K41" s="159"/>
      <c r="L41" s="134">
        <f>IF(OR(H41=0,D41=0),"-",IF((H41-D41)&lt;0,"Erreur",(H41-D41)))</f>
        <v>6.4000000000014552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278" t="s">
        <v>320</v>
      </c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80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321</v>
      </c>
      <c r="B46" s="188"/>
      <c r="C46" s="271" t="s">
        <v>322</v>
      </c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3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 t="s">
        <v>324</v>
      </c>
      <c r="B47" s="267"/>
      <c r="C47" s="271" t="s">
        <v>323</v>
      </c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5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 t="s">
        <v>326</v>
      </c>
      <c r="B48" s="181"/>
      <c r="C48" s="271" t="s">
        <v>325</v>
      </c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5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 t="s">
        <v>327</v>
      </c>
      <c r="B49" s="179"/>
      <c r="C49" s="271" t="s">
        <v>328</v>
      </c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3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 t="s">
        <v>330</v>
      </c>
      <c r="B50" s="183"/>
      <c r="C50" s="189" t="s">
        <v>331</v>
      </c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1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2" t="s">
        <v>329</v>
      </c>
      <c r="B51" s="183"/>
      <c r="C51" s="189" t="s">
        <v>213</v>
      </c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1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 t="s">
        <v>334</v>
      </c>
      <c r="B52" s="181"/>
      <c r="C52" s="271" t="s">
        <v>313</v>
      </c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3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 t="s">
        <v>335</v>
      </c>
      <c r="B53" s="176"/>
      <c r="C53" s="271" t="s">
        <v>305</v>
      </c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5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 t="s">
        <v>336</v>
      </c>
      <c r="B54" s="176"/>
      <c r="C54" s="271" t="s">
        <v>343</v>
      </c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5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 t="s">
        <v>338</v>
      </c>
      <c r="B55" s="176"/>
      <c r="C55" s="271" t="s">
        <v>308</v>
      </c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 t="s">
        <v>338</v>
      </c>
      <c r="B56" s="176"/>
      <c r="C56" s="271" t="s">
        <v>339</v>
      </c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3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 t="s">
        <v>340</v>
      </c>
      <c r="B57" s="176"/>
      <c r="C57" s="180" t="s">
        <v>342</v>
      </c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7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 t="s">
        <v>344</v>
      </c>
      <c r="B58" s="176"/>
      <c r="C58" s="189" t="s">
        <v>345</v>
      </c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1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 t="s">
        <v>346</v>
      </c>
      <c r="B59" s="176"/>
      <c r="C59" s="180" t="s">
        <v>322</v>
      </c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7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 t="s">
        <v>347</v>
      </c>
      <c r="B60" s="181"/>
      <c r="C60" s="189" t="s">
        <v>323</v>
      </c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 t="s">
        <v>348</v>
      </c>
      <c r="B61" s="176"/>
      <c r="C61" s="180" t="s">
        <v>325</v>
      </c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 t="s">
        <v>349</v>
      </c>
      <c r="B62" s="176"/>
      <c r="C62" s="189" t="s">
        <v>352</v>
      </c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1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 t="s">
        <v>350</v>
      </c>
      <c r="B63" s="176"/>
      <c r="C63" s="180" t="s">
        <v>331</v>
      </c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 t="s">
        <v>351</v>
      </c>
      <c r="B64" s="176"/>
      <c r="C64" s="172" t="s">
        <v>213</v>
      </c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 t="s">
        <v>356</v>
      </c>
      <c r="B65" s="200"/>
      <c r="C65" s="180" t="s">
        <v>357</v>
      </c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>
        <v>266972</v>
      </c>
      <c r="B69" s="219"/>
      <c r="C69" s="220" t="s">
        <v>332</v>
      </c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>
        <v>267010</v>
      </c>
      <c r="B70" s="212"/>
      <c r="C70" s="213" t="s">
        <v>333</v>
      </c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/>
      <c r="B82" s="231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C58" name="Plage2_2_2_1_2_1_2_1_2"/>
    <protectedRange password="EC6D" sqref="L61:N61 C61" name="Plage2_6_1_1_3"/>
    <protectedRange password="EC6D" sqref="C62" name="Plage2_2_2_1_2_1_2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:B51" name="Plage2_4_2_1"/>
    <protectedRange password="EC6D" sqref="B52" name="Plage2_4_2_3"/>
    <protectedRange password="EC6D" sqref="B53:B54" name="Plage2_4_2_4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L59:N59 C59" name="Plage2_6_1_1_3_1"/>
    <protectedRange password="EC6D" sqref="S50" name="Plage2_2_2_2_1_2_1_1"/>
    <protectedRange password="EC6D" sqref="C60" name="Plage2_2_2_1_2_1_2_1_2_1"/>
    <protectedRange password="EC6D" sqref="C49" name="Plage2_2_2_2_1_2_1"/>
    <protectedRange password="EC6D" sqref="C50:C51" name="Plage2_2_2_1_2_1_2_1_1_1"/>
    <protectedRange password="EC6D" sqref="C46" name="Plage2_2_2_2_1_2_1_2_1"/>
    <protectedRange password="EC6D" sqref="C47:C48" name="Plage2_2_2_2_1_2_1_2_2"/>
    <protectedRange password="EC6D" sqref="C45" name="Plage2_2_3_1_1_2_1"/>
    <protectedRange password="EC6D" sqref="C52" name="Plage2_2_2_2_1_2_1_2_1_1"/>
    <protectedRange password="EC6D" sqref="C53" name="Plage2_2_2_2_1_2_1_2_2_1"/>
    <protectedRange password="EC6D" sqref="C54" name="Plage2_2_2_2_1_2_1_2_2_2"/>
    <protectedRange password="EC6D" sqref="B55" name="Plage2_4_2_4_1"/>
    <protectedRange password="EC6D" sqref="B56" name="Plage2_4_2_6_1"/>
    <protectedRange password="EC6D" sqref="B57" name="Plage2_4_2_7_1"/>
    <protectedRange password="EC6D" sqref="L57:N57 C57" name="Plage2_5_1_1"/>
    <protectedRange password="EC6D" sqref="C55:C56" name="Plage2_2_1_1_1_1_1_1_1_1_1_1"/>
  </protectedRanges>
  <mergeCells count="378"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</mergeCells>
  <conditionalFormatting sqref="A17 C17 E17:F17">
    <cfRule type="containsText" dxfId="209" priority="18" operator="containsText" text="Erreur">
      <formula>NOT(ISERROR(SEARCH("Erreur",A17)))</formula>
    </cfRule>
    <cfRule type="containsText" dxfId="208" priority="19" operator="containsText" text="Erreur">
      <formula>NOT(ISERROR(SEARCH("Erreur",A17)))</formula>
    </cfRule>
    <cfRule type="containsText" dxfId="207" priority="20" operator="containsText" text="Erreur">
      <formula>NOT(ISERROR(SEARCH("Erreur",A17)))</formula>
    </cfRule>
    <cfRule type="cellIs" dxfId="206" priority="21" operator="lessThan">
      <formula>0</formula>
    </cfRule>
  </conditionalFormatting>
  <conditionalFormatting sqref="R11">
    <cfRule type="containsText" dxfId="205" priority="17" operator="containsText" text="Erreur">
      <formula>NOT(ISERROR(SEARCH("Erreur",R11)))</formula>
    </cfRule>
  </conditionalFormatting>
  <conditionalFormatting sqref="H24:L24">
    <cfRule type="containsText" dxfId="204" priority="16" operator="containsText" text="Erreur">
      <formula>NOT(ISERROR(SEARCH("Erreur",H24)))</formula>
    </cfRule>
  </conditionalFormatting>
  <conditionalFormatting sqref="L29:N30 L32:N36">
    <cfRule type="cellIs" dxfId="203" priority="15" operator="equal">
      <formula>"Erreur"</formula>
    </cfRule>
  </conditionalFormatting>
  <conditionalFormatting sqref="M10 M11:O13">
    <cfRule type="cellIs" dxfId="202" priority="13" operator="equal">
      <formula>"-"</formula>
    </cfRule>
    <cfRule type="cellIs" dxfId="201" priority="14" operator="equal">
      <formula>"Erreur"</formula>
    </cfRule>
  </conditionalFormatting>
  <conditionalFormatting sqref="A17:D17 L25:O25 G17:H17 L29:N30 L32:N36">
    <cfRule type="cellIs" dxfId="200" priority="12" operator="equal">
      <formula>"-"</formula>
    </cfRule>
  </conditionalFormatting>
  <conditionalFormatting sqref="E17:F17">
    <cfRule type="cellIs" dxfId="199" priority="7" operator="equal">
      <formula>"-"</formula>
    </cfRule>
    <cfRule type="containsText" dxfId="198" priority="8" operator="containsText" text="Erreur">
      <formula>NOT(ISERROR(SEARCH("Erreur",E17)))</formula>
    </cfRule>
    <cfRule type="containsText" dxfId="197" priority="9" operator="containsText" text="Erreur">
      <formula>NOT(ISERROR(SEARCH("Erreur",E17)))</formula>
    </cfRule>
    <cfRule type="containsText" dxfId="196" priority="10" operator="containsText" text="Erreur">
      <formula>NOT(ISERROR(SEARCH("Erreur",E17)))</formula>
    </cfRule>
    <cfRule type="cellIs" dxfId="195" priority="11" operator="lessThan">
      <formula>0</formula>
    </cfRule>
  </conditionalFormatting>
  <conditionalFormatting sqref="D24:O24">
    <cfRule type="cellIs" dxfId="194" priority="5" operator="equal">
      <formula>"-"</formula>
    </cfRule>
    <cfRule type="containsText" dxfId="193" priority="6" operator="containsText" text="Erreur">
      <formula>NOT(ISERROR(SEARCH("Erreur",D24)))</formula>
    </cfRule>
  </conditionalFormatting>
  <conditionalFormatting sqref="L39:N42">
    <cfRule type="cellIs" dxfId="192" priority="3" operator="equal">
      <formula>"Erreur"</formula>
    </cfRule>
    <cfRule type="cellIs" dxfId="191" priority="4" operator="equal">
      <formula>"-"</formula>
    </cfRule>
  </conditionalFormatting>
  <conditionalFormatting sqref="D24:G24">
    <cfRule type="cellIs" dxfId="190" priority="1" operator="equal">
      <formula>"-"</formula>
    </cfRule>
    <cfRule type="containsText" dxfId="189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E205"/>
  <sheetViews>
    <sheetView topLeftCell="A37" zoomScale="120" zoomScaleNormal="120" workbookViewId="0">
      <selection activeCell="L29" sqref="L29:N29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364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5</v>
      </c>
      <c r="E3" s="38"/>
      <c r="F3" s="38"/>
      <c r="G3" s="37" t="s">
        <v>6</v>
      </c>
      <c r="H3" s="38"/>
      <c r="I3" s="38"/>
      <c r="J3" s="37" t="s">
        <v>18</v>
      </c>
      <c r="K3" s="38"/>
      <c r="L3" s="38"/>
      <c r="M3" s="37" t="s">
        <v>18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8</v>
      </c>
      <c r="E4" s="38"/>
      <c r="F4" s="38"/>
      <c r="G4" s="38" t="s">
        <v>10</v>
      </c>
      <c r="H4" s="38"/>
      <c r="I4" s="38"/>
      <c r="J4" s="38" t="s">
        <v>9</v>
      </c>
      <c r="K4" s="38"/>
      <c r="L4" s="38"/>
      <c r="M4" s="38" t="s">
        <v>9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93</v>
      </c>
      <c r="E5" s="38"/>
      <c r="F5" s="38"/>
      <c r="G5" s="38" t="s">
        <v>93</v>
      </c>
      <c r="H5" s="38"/>
      <c r="I5" s="38"/>
      <c r="J5" s="38" t="s">
        <v>14</v>
      </c>
      <c r="K5" s="38"/>
      <c r="L5" s="38"/>
      <c r="M5" s="38" t="s">
        <v>14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442915</v>
      </c>
      <c r="D10" s="48"/>
      <c r="E10" s="47">
        <v>442915</v>
      </c>
      <c r="F10" s="49"/>
      <c r="G10" s="47">
        <v>443080</v>
      </c>
      <c r="H10" s="49"/>
      <c r="I10" s="47">
        <v>443385</v>
      </c>
      <c r="J10" s="48"/>
      <c r="K10" s="47">
        <v>443385</v>
      </c>
      <c r="L10" s="48"/>
      <c r="M10" s="50">
        <f>IF(OR(K10=0,C10=0),"-",IF((K10-C10)&lt;0,"Erreur",(K10-C10)))</f>
        <v>470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228852</v>
      </c>
      <c r="D11" s="63"/>
      <c r="E11" s="64"/>
      <c r="F11" s="64"/>
      <c r="G11" s="65"/>
      <c r="H11" s="66"/>
      <c r="I11" s="64"/>
      <c r="J11" s="64"/>
      <c r="K11" s="62">
        <v>228853</v>
      </c>
      <c r="L11" s="63"/>
      <c r="M11" s="57">
        <f>IF(OR(K11=0,C11=0),"-",IF((K11-C11)&lt;0,"Erreur",(K11-C11)))</f>
        <v>1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71600</v>
      </c>
      <c r="D12" s="63"/>
      <c r="E12" s="64"/>
      <c r="F12" s="64"/>
      <c r="G12" s="65"/>
      <c r="H12" s="66"/>
      <c r="I12" s="64"/>
      <c r="J12" s="64"/>
      <c r="K12" s="62">
        <v>71654</v>
      </c>
      <c r="L12" s="63"/>
      <c r="M12" s="57">
        <f>IF(OR(K12=0,C12=0),"-",IF((K12-C12)&lt;0,"Erreur",(K12-C12)))</f>
        <v>54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39129438</v>
      </c>
      <c r="D13" s="85"/>
      <c r="E13" s="84">
        <v>39131608</v>
      </c>
      <c r="F13" s="85"/>
      <c r="G13" s="84">
        <v>39135141</v>
      </c>
      <c r="H13" s="85"/>
      <c r="I13" s="84">
        <v>39136691</v>
      </c>
      <c r="J13" s="85"/>
      <c r="K13" s="84">
        <v>39137363</v>
      </c>
      <c r="L13" s="85"/>
      <c r="M13" s="57">
        <f>IF(OR(K13=0,C13=0),"-",IF((K13-C13)&lt;0,"Erreur",(K13-C13)))</f>
        <v>7925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317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236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165</v>
      </c>
      <c r="B17" s="94"/>
      <c r="C17" s="93">
        <f>IF(OR(I10=0,G10=0),"-",IF((I10-G10)&lt;0,"Erreur",(I10-G10)))</f>
        <v>305</v>
      </c>
      <c r="D17" s="94"/>
      <c r="E17" s="95">
        <f>IF(OR(I10=0,K10=0,C10=0,E10=0),"-",IF(((K10-I10)+(E10-C10))&lt;0,"Erreur",((K10-I10)+(E10-C10))))</f>
        <v>0</v>
      </c>
      <c r="F17" s="96"/>
      <c r="G17" s="97">
        <f>SUM(A17:F17)</f>
        <v>470</v>
      </c>
      <c r="H17" s="98"/>
      <c r="I17" s="3"/>
      <c r="J17" s="99" t="s">
        <v>44</v>
      </c>
      <c r="K17" s="100"/>
      <c r="L17" s="101" t="s">
        <v>373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112MW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17H51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5.2999999999992724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1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39134436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39136496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144400.10000002384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2060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2060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470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2.06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467.94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7.9249999999999998</v>
      </c>
    </row>
    <row r="29" spans="1:23" ht="28.35" customHeight="1" thickTop="1" thickBot="1">
      <c r="B29" s="131" t="s">
        <v>63</v>
      </c>
      <c r="C29" s="132"/>
      <c r="D29" s="133">
        <v>746095902.60000002</v>
      </c>
      <c r="E29" s="133"/>
      <c r="F29" s="133"/>
      <c r="G29" s="133"/>
      <c r="H29" s="133">
        <v>746240302.70000005</v>
      </c>
      <c r="I29" s="133"/>
      <c r="J29" s="133"/>
      <c r="K29" s="133"/>
      <c r="L29" s="134">
        <f>IF(OR(H29=0,D29=0),"-",IF((H29-D29)&lt;0,"Erreur",(H29-D29)))</f>
        <v>144400.10000002384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2335</v>
      </c>
      <c r="E33" s="159"/>
      <c r="F33" s="159"/>
      <c r="G33" s="159"/>
      <c r="H33" s="159">
        <v>2336</v>
      </c>
      <c r="I33" s="159"/>
      <c r="J33" s="159"/>
      <c r="K33" s="159"/>
      <c r="L33" s="134">
        <f>IF(OR(H33=0,D33=0),"-",IF((H33-D33)&lt;0,"Erreur",(H33-D33)))</f>
        <v>1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2262</v>
      </c>
      <c r="E35" s="159"/>
      <c r="F35" s="159"/>
      <c r="G35" s="159"/>
      <c r="H35" s="159">
        <v>2263</v>
      </c>
      <c r="I35" s="159"/>
      <c r="J35" s="159"/>
      <c r="K35" s="159"/>
      <c r="L35" s="134">
        <f>IF(OR(H35=0,D35=0),"-",IF((H35-D35)&lt;0,"Erreur",(H35-D35)))</f>
        <v>1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28048.9</v>
      </c>
      <c r="E39" s="167"/>
      <c r="F39" s="167"/>
      <c r="G39" s="168"/>
      <c r="H39" s="166">
        <v>28054.2</v>
      </c>
      <c r="I39" s="167"/>
      <c r="J39" s="167"/>
      <c r="K39" s="168"/>
      <c r="L39" s="134">
        <f>IF(OR(H39=0,D39=0),"-",IF((H39-D39)&lt;0,"Erreur",(H39-D39)))</f>
        <v>5.2999999999992724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28017</v>
      </c>
      <c r="E41" s="159"/>
      <c r="F41" s="159"/>
      <c r="G41" s="159"/>
      <c r="H41" s="159">
        <v>28022.3</v>
      </c>
      <c r="I41" s="159"/>
      <c r="J41" s="159"/>
      <c r="K41" s="159"/>
      <c r="L41" s="134">
        <f>IF(OR(H41=0,D41=0),"-",IF((H41-D41)&lt;0,"Erreur",(H41-D41)))</f>
        <v>5.2999999999992724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278" t="s">
        <v>300</v>
      </c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80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358</v>
      </c>
      <c r="B46" s="188"/>
      <c r="C46" s="271" t="s">
        <v>313</v>
      </c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3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 t="s">
        <v>359</v>
      </c>
      <c r="B47" s="267"/>
      <c r="C47" s="271" t="s">
        <v>363</v>
      </c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5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 t="s">
        <v>360</v>
      </c>
      <c r="B48" s="181"/>
      <c r="C48" s="180" t="s">
        <v>331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4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 t="s">
        <v>361</v>
      </c>
      <c r="B49" s="179"/>
      <c r="C49" s="271" t="s">
        <v>308</v>
      </c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3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 t="s">
        <v>361</v>
      </c>
      <c r="B50" s="183"/>
      <c r="C50" s="271" t="s">
        <v>339</v>
      </c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3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2" t="s">
        <v>362</v>
      </c>
      <c r="B51" s="183"/>
      <c r="C51" s="189" t="s">
        <v>106</v>
      </c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1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 t="s">
        <v>366</v>
      </c>
      <c r="B52" s="181"/>
      <c r="C52" s="271" t="s">
        <v>204</v>
      </c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3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 t="s">
        <v>366</v>
      </c>
      <c r="B53" s="176"/>
      <c r="C53" s="189" t="s">
        <v>323</v>
      </c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1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 t="s">
        <v>197</v>
      </c>
      <c r="B54" s="176"/>
      <c r="C54" s="180" t="s">
        <v>325</v>
      </c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7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 t="s">
        <v>367</v>
      </c>
      <c r="B55" s="176"/>
      <c r="C55" s="189" t="s">
        <v>352</v>
      </c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1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 t="s">
        <v>222</v>
      </c>
      <c r="B56" s="176"/>
      <c r="C56" s="180" t="s">
        <v>331</v>
      </c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4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 t="s">
        <v>368</v>
      </c>
      <c r="B57" s="176"/>
      <c r="C57" s="172" t="s">
        <v>213</v>
      </c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4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 t="s">
        <v>369</v>
      </c>
      <c r="B58" s="176"/>
      <c r="C58" s="252" t="s">
        <v>371</v>
      </c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2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/>
      <c r="B59" s="176"/>
      <c r="C59" s="180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7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/>
      <c r="B60" s="181"/>
      <c r="C60" s="189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/>
      <c r="B61" s="176"/>
      <c r="C61" s="18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/>
      <c r="B62" s="176"/>
      <c r="C62" s="189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1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/>
      <c r="B69" s="219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/>
      <c r="B70" s="212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 t="s">
        <v>369</v>
      </c>
      <c r="B82" s="231"/>
      <c r="C82" s="283" t="s">
        <v>372</v>
      </c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 t="s">
        <v>370</v>
      </c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C58" name="Plage2_2_2_1_2_1_2_1_2"/>
    <protectedRange password="EC6D" sqref="L61:N61 C61" name="Plage2_6_1_1_3"/>
    <protectedRange password="EC6D" sqref="C62" name="Plage2_2_2_1_2_1_2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:B51" name="Plage2_4_2_1"/>
    <protectedRange password="EC6D" sqref="B52" name="Plage2_4_2_3"/>
    <protectedRange password="EC6D" sqref="B53:B54" name="Plage2_4_2_4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L59:N59 C59" name="Plage2_6_1_1_3_1"/>
    <protectedRange password="EC6D" sqref="S50" name="Plage2_2_2_2_1_2_1_1"/>
    <protectedRange password="EC6D" sqref="C60" name="Plage2_2_2_1_2_1_2_1_2_1"/>
    <protectedRange password="EC6D" sqref="C51" name="Plage2_2_2_1_2_1_2_1_1_1"/>
    <protectedRange password="EC6D" sqref="C45" name="Plage2_2_3_1_1_2_1"/>
    <protectedRange password="EC6D" sqref="C52" name="Plage2_2_2_2_1_2_1_2_1_1"/>
    <protectedRange password="EC6D" sqref="B55" name="Plage2_4_2_4_1"/>
    <protectedRange password="EC6D" sqref="B56" name="Plage2_4_2_6_1"/>
    <protectedRange password="EC6D" sqref="B57" name="Plage2_4_2_7_1"/>
    <protectedRange password="EC6D" sqref="C46" name="Plage2_2_2_2_1_2_1_2_1_1_1"/>
    <protectedRange password="EC6D" sqref="C47" name="Plage2_2_2_2_1_2_1_2_2_2_1"/>
    <protectedRange password="EC6D" sqref="L48:N48 C48 L56:N56 C56" name="Plage2_4_1_1"/>
    <protectedRange password="EC6D" sqref="C49" name="Plage2_2_1_1_1_1_1_1_1_1_1_1_1"/>
    <protectedRange password="EC6D" sqref="C50" name="Plage2_2_1_1_1_1_1_1_1_1_1_1_2"/>
    <protectedRange password="EC6D" sqref="C53" name="Plage2_2_2_1_2_1_2_1_2_1_1"/>
    <protectedRange password="EC6D" sqref="L54:N54 C54" name="Plage2_6_1_1_3_2"/>
    <protectedRange password="EC6D" sqref="C55" name="Plage2_2_2_1_2_1_2_2_1"/>
    <protectedRange password="EC6D" sqref="C57" name="Plage2_2_1"/>
  </protectedRanges>
  <mergeCells count="378"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188" priority="18" operator="containsText" text="Erreur">
      <formula>NOT(ISERROR(SEARCH("Erreur",A17)))</formula>
    </cfRule>
    <cfRule type="containsText" dxfId="187" priority="19" operator="containsText" text="Erreur">
      <formula>NOT(ISERROR(SEARCH("Erreur",A17)))</formula>
    </cfRule>
    <cfRule type="containsText" dxfId="186" priority="20" operator="containsText" text="Erreur">
      <formula>NOT(ISERROR(SEARCH("Erreur",A17)))</formula>
    </cfRule>
    <cfRule type="cellIs" dxfId="185" priority="21" operator="lessThan">
      <formula>0</formula>
    </cfRule>
  </conditionalFormatting>
  <conditionalFormatting sqref="R11">
    <cfRule type="containsText" dxfId="184" priority="17" operator="containsText" text="Erreur">
      <formula>NOT(ISERROR(SEARCH("Erreur",R11)))</formula>
    </cfRule>
  </conditionalFormatting>
  <conditionalFormatting sqref="H24:L24">
    <cfRule type="containsText" dxfId="183" priority="16" operator="containsText" text="Erreur">
      <formula>NOT(ISERROR(SEARCH("Erreur",H24)))</formula>
    </cfRule>
  </conditionalFormatting>
  <conditionalFormatting sqref="L29:N30 L32:N36">
    <cfRule type="cellIs" dxfId="182" priority="15" operator="equal">
      <formula>"Erreur"</formula>
    </cfRule>
  </conditionalFormatting>
  <conditionalFormatting sqref="M10 M11:O13">
    <cfRule type="cellIs" dxfId="181" priority="13" operator="equal">
      <formula>"-"</formula>
    </cfRule>
    <cfRule type="cellIs" dxfId="180" priority="14" operator="equal">
      <formula>"Erreur"</formula>
    </cfRule>
  </conditionalFormatting>
  <conditionalFormatting sqref="A17:D17 L25:O25 G17:H17 L29:N30 L32:N36">
    <cfRule type="cellIs" dxfId="179" priority="12" operator="equal">
      <formula>"-"</formula>
    </cfRule>
  </conditionalFormatting>
  <conditionalFormatting sqref="E17:F17">
    <cfRule type="cellIs" dxfId="178" priority="7" operator="equal">
      <formula>"-"</formula>
    </cfRule>
    <cfRule type="containsText" dxfId="177" priority="8" operator="containsText" text="Erreur">
      <formula>NOT(ISERROR(SEARCH("Erreur",E17)))</formula>
    </cfRule>
    <cfRule type="containsText" dxfId="176" priority="9" operator="containsText" text="Erreur">
      <formula>NOT(ISERROR(SEARCH("Erreur",E17)))</formula>
    </cfRule>
    <cfRule type="containsText" dxfId="175" priority="10" operator="containsText" text="Erreur">
      <formula>NOT(ISERROR(SEARCH("Erreur",E17)))</formula>
    </cfRule>
    <cfRule type="cellIs" dxfId="174" priority="11" operator="lessThan">
      <formula>0</formula>
    </cfRule>
  </conditionalFormatting>
  <conditionalFormatting sqref="D24:O24">
    <cfRule type="cellIs" dxfId="173" priority="5" operator="equal">
      <formula>"-"</formula>
    </cfRule>
    <cfRule type="containsText" dxfId="172" priority="6" operator="containsText" text="Erreur">
      <formula>NOT(ISERROR(SEARCH("Erreur",D24)))</formula>
    </cfRule>
  </conditionalFormatting>
  <conditionalFormatting sqref="L39:N42">
    <cfRule type="cellIs" dxfId="171" priority="3" operator="equal">
      <formula>"Erreur"</formula>
    </cfRule>
    <cfRule type="cellIs" dxfId="170" priority="4" operator="equal">
      <formula>"-"</formula>
    </cfRule>
  </conditionalFormatting>
  <conditionalFormatting sqref="D24:G24">
    <cfRule type="cellIs" dxfId="169" priority="1" operator="equal">
      <formula>"-"</formula>
    </cfRule>
    <cfRule type="containsText" dxfId="168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E205"/>
  <sheetViews>
    <sheetView topLeftCell="A34" zoomScale="120" zoomScaleNormal="120" workbookViewId="0">
      <selection activeCell="K10" sqref="K10:L10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365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18</v>
      </c>
      <c r="E3" s="38"/>
      <c r="F3" s="38"/>
      <c r="G3" s="37" t="s">
        <v>6</v>
      </c>
      <c r="H3" s="38"/>
      <c r="I3" s="38"/>
      <c r="J3" s="37" t="s">
        <v>6</v>
      </c>
      <c r="K3" s="38"/>
      <c r="L3" s="38"/>
      <c r="M3" s="37" t="s">
        <v>18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9</v>
      </c>
      <c r="E4" s="38"/>
      <c r="F4" s="38"/>
      <c r="G4" s="38" t="s">
        <v>10</v>
      </c>
      <c r="H4" s="38"/>
      <c r="I4" s="38"/>
      <c r="J4" s="38" t="s">
        <v>10</v>
      </c>
      <c r="K4" s="38"/>
      <c r="L4" s="38"/>
      <c r="M4" s="38" t="s">
        <v>9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14</v>
      </c>
      <c r="E5" s="38"/>
      <c r="F5" s="38"/>
      <c r="G5" s="38" t="s">
        <v>13</v>
      </c>
      <c r="H5" s="38"/>
      <c r="I5" s="38"/>
      <c r="J5" s="38" t="s">
        <v>19</v>
      </c>
      <c r="K5" s="38"/>
      <c r="L5" s="38"/>
      <c r="M5" s="38" t="s">
        <v>14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 t="s">
        <v>28</v>
      </c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443385</v>
      </c>
      <c r="D10" s="48"/>
      <c r="E10" s="47">
        <v>443385</v>
      </c>
      <c r="F10" s="49"/>
      <c r="G10" s="47">
        <v>443499</v>
      </c>
      <c r="H10" s="49"/>
      <c r="I10" s="47">
        <v>443835</v>
      </c>
      <c r="J10" s="48"/>
      <c r="K10" s="47">
        <v>443987</v>
      </c>
      <c r="L10" s="48"/>
      <c r="M10" s="50">
        <f>IF(OR(K10=0,C10=0),"-",IF((K10-C10)&lt;0,"Erreur",(K10-C10)))</f>
        <v>602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228853</v>
      </c>
      <c r="D11" s="63"/>
      <c r="E11" s="64"/>
      <c r="F11" s="64"/>
      <c r="G11" s="65"/>
      <c r="H11" s="66"/>
      <c r="I11" s="64"/>
      <c r="J11" s="64"/>
      <c r="K11" s="62">
        <v>228853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71654</v>
      </c>
      <c r="D12" s="63"/>
      <c r="E12" s="64"/>
      <c r="F12" s="64"/>
      <c r="G12" s="65"/>
      <c r="H12" s="66"/>
      <c r="I12" s="64"/>
      <c r="J12" s="64"/>
      <c r="K12" s="62">
        <v>71722</v>
      </c>
      <c r="L12" s="63"/>
      <c r="M12" s="57">
        <f>IF(OR(K12=0,C12=0),"-",IF((K12-C12)&lt;0,"Erreur",(K12-C12)))</f>
        <v>68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39137363</v>
      </c>
      <c r="D13" s="85"/>
      <c r="E13" s="84">
        <v>39139393</v>
      </c>
      <c r="F13" s="85"/>
      <c r="G13" s="84">
        <v>39142570</v>
      </c>
      <c r="H13" s="85"/>
      <c r="I13" s="84">
        <v>399144233</v>
      </c>
      <c r="J13" s="85"/>
      <c r="K13" s="84">
        <v>39145002</v>
      </c>
      <c r="L13" s="85"/>
      <c r="M13" s="57">
        <f>IF(OR(K13=0,C13=0),"-",IF((K13-C13)&lt;0,"Erreur",(K13-C13)))</f>
        <v>7639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317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236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114</v>
      </c>
      <c r="B17" s="94"/>
      <c r="C17" s="93">
        <f>IF(OR(I10=0,G10=0),"-",IF((I10-G10)&lt;0,"Erreur",(I10-G10)))</f>
        <v>336</v>
      </c>
      <c r="D17" s="94"/>
      <c r="E17" s="95">
        <f>IF(OR(I10=0,K10=0,C10=0,E10=0),"-",IF(((K10-I10)+(E10-C10))&lt;0,"Erreur",((K10-I10)+(E10-C10))))</f>
        <v>152</v>
      </c>
      <c r="F17" s="96"/>
      <c r="G17" s="97">
        <f>SUM(A17:F17)</f>
        <v>602</v>
      </c>
      <c r="H17" s="98"/>
      <c r="I17" s="3"/>
      <c r="J17" s="99" t="s">
        <v>44</v>
      </c>
      <c r="K17" s="100"/>
      <c r="L17" s="101" t="s">
        <v>384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112MW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22H37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7.7000000000007276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1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39142015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39145002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190001.79999995232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2987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2987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602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2.9870000000000001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599.01300000000003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7.6390000000000002</v>
      </c>
    </row>
    <row r="29" spans="1:23" ht="28.35" customHeight="1" thickTop="1" thickBot="1">
      <c r="B29" s="131" t="s">
        <v>63</v>
      </c>
      <c r="C29" s="132"/>
      <c r="D29" s="133">
        <v>746240302.70000005</v>
      </c>
      <c r="E29" s="133"/>
      <c r="F29" s="133"/>
      <c r="G29" s="133"/>
      <c r="H29" s="133">
        <v>746430304.5</v>
      </c>
      <c r="I29" s="133"/>
      <c r="J29" s="133"/>
      <c r="K29" s="133"/>
      <c r="L29" s="134">
        <f>IF(OR(H29=0,D29=0),"-",IF((H29-D29)&lt;0,"Erreur",(H29-D29)))</f>
        <v>190001.79999995232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 t="s">
        <v>65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2336</v>
      </c>
      <c r="E33" s="159"/>
      <c r="F33" s="159"/>
      <c r="G33" s="159"/>
      <c r="H33" s="159">
        <v>2337</v>
      </c>
      <c r="I33" s="159"/>
      <c r="J33" s="159"/>
      <c r="K33" s="159"/>
      <c r="L33" s="134">
        <f>IF(OR(H33=0,D33=0),"-",IF((H33-D33)&lt;0,"Erreur",(H33-D33)))</f>
        <v>1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2263</v>
      </c>
      <c r="E35" s="159"/>
      <c r="F35" s="159"/>
      <c r="G35" s="159"/>
      <c r="H35" s="159">
        <v>2264</v>
      </c>
      <c r="I35" s="159"/>
      <c r="J35" s="159"/>
      <c r="K35" s="159"/>
      <c r="L35" s="134">
        <f>IF(OR(H35=0,D35=0),"-",IF((H35-D35)&lt;0,"Erreur",(H35-D35)))</f>
        <v>1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28054.2</v>
      </c>
      <c r="E39" s="167"/>
      <c r="F39" s="167"/>
      <c r="G39" s="168"/>
      <c r="H39" s="166">
        <v>28061.9</v>
      </c>
      <c r="I39" s="167"/>
      <c r="J39" s="167"/>
      <c r="K39" s="168"/>
      <c r="L39" s="134">
        <f>IF(OR(H39=0,D39=0),"-",IF((H39-D39)&lt;0,"Erreur",(H39-D39)))</f>
        <v>7.7000000000007276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28022.3</v>
      </c>
      <c r="E41" s="159"/>
      <c r="F41" s="159"/>
      <c r="G41" s="159"/>
      <c r="H41" s="159">
        <v>28030</v>
      </c>
      <c r="I41" s="159"/>
      <c r="J41" s="159"/>
      <c r="K41" s="159"/>
      <c r="L41" s="134">
        <f>IF(OR(H41=0,D41=0),"-",IF((H41-D41)&lt;0,"Erreur",(H41-D41)))</f>
        <v>7.7000000000007276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278" t="s">
        <v>374</v>
      </c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80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377</v>
      </c>
      <c r="B46" s="188"/>
      <c r="C46" s="271" t="s">
        <v>313</v>
      </c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3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 t="s">
        <v>377</v>
      </c>
      <c r="B47" s="267"/>
      <c r="C47" s="271" t="s">
        <v>305</v>
      </c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5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 t="s">
        <v>378</v>
      </c>
      <c r="B48" s="181"/>
      <c r="C48" s="271" t="s">
        <v>382</v>
      </c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5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 t="s">
        <v>379</v>
      </c>
      <c r="B49" s="179"/>
      <c r="C49" s="271" t="s">
        <v>308</v>
      </c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3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 t="s">
        <v>379</v>
      </c>
      <c r="B50" s="183"/>
      <c r="C50" s="271" t="s">
        <v>339</v>
      </c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3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2" t="s">
        <v>380</v>
      </c>
      <c r="B51" s="183"/>
      <c r="C51" s="189" t="s">
        <v>381</v>
      </c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1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 t="s">
        <v>142</v>
      </c>
      <c r="B52" s="181"/>
      <c r="C52" s="278" t="s">
        <v>386</v>
      </c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80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271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5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271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5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/>
      <c r="B55" s="176"/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/>
      <c r="B56" s="176"/>
      <c r="C56" s="271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3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0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7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/>
      <c r="B58" s="176"/>
      <c r="C58" s="189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1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/>
      <c r="B59" s="176"/>
      <c r="C59" s="180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7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/>
      <c r="B60" s="181"/>
      <c r="C60" s="189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/>
      <c r="B61" s="176"/>
      <c r="C61" s="18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/>
      <c r="B62" s="176"/>
      <c r="C62" s="189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1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/>
      <c r="B69" s="219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/>
      <c r="B70" s="212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 t="s">
        <v>375</v>
      </c>
      <c r="B82" s="231"/>
      <c r="C82" s="232" t="s">
        <v>376</v>
      </c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 t="s">
        <v>146</v>
      </c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C58" name="Plage2_2_2_1_2_1_2_1_2"/>
    <protectedRange password="EC6D" sqref="L61:N61 C61" name="Plage2_6_1_1_3"/>
    <protectedRange password="EC6D" sqref="C62" name="Plage2_2_2_1_2_1_2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:B51" name="Plage2_4_2_1"/>
    <protectedRange password="EC6D" sqref="B52" name="Plage2_4_2_3"/>
    <protectedRange password="EC6D" sqref="B53:B54" name="Plage2_4_2_4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L59:N59 C59" name="Plage2_6_1_1_3_1"/>
    <protectedRange password="EC6D" sqref="S50" name="Plage2_2_2_2_1_2_1_1"/>
    <protectedRange password="EC6D" sqref="C60" name="Plage2_2_2_1_2_1_2_1_2_1"/>
    <protectedRange password="EC6D" sqref="C51" name="Plage2_2_2_1_2_1_2_1_1_1"/>
    <protectedRange password="EC6D" sqref="C45" name="Plage2_2_3_1_1_2_1"/>
    <protectedRange password="EC6D" sqref="C53" name="Plage2_2_2_2_1_2_1_2_2_1"/>
    <protectedRange password="EC6D" sqref="C54" name="Plage2_2_2_2_1_2_1_2_2_2"/>
    <protectedRange password="EC6D" sqref="B55" name="Plage2_4_2_4_1"/>
    <protectedRange password="EC6D" sqref="B56" name="Plage2_4_2_6_1"/>
    <protectedRange password="EC6D" sqref="B57" name="Plage2_4_2_7_1"/>
    <protectedRange password="EC6D" sqref="L57:N57 C57" name="Plage2_5_1_1"/>
    <protectedRange password="EC6D" sqref="C55:C56" name="Plage2_2_1_1_1_1_1_1_1_1_1_1"/>
    <protectedRange password="EC6D" sqref="C49" name="Plage2_2_1_1_1_1_1_1_1_1_1_1_1"/>
    <protectedRange password="EC6D" sqref="C50" name="Plage2_2_1_1_1_1_1_1_1_1_1_1_2"/>
    <protectedRange password="EC6D" sqref="C46" name="Plage2_2_2_2_1_2_1_2_1_1_1_1"/>
    <protectedRange password="EC6D" sqref="C47" name="Plage2_2_2_2_1_2_1_2_2_1_1"/>
    <protectedRange password="EC6D" sqref="C48" name="Plage2_2_2_2_1_2_1_2_2_2_2"/>
    <protectedRange password="EC6D" sqref="C52" name="Plage2_2_3_1_1_2"/>
  </protectedRanges>
  <mergeCells count="378"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167" priority="18" operator="containsText" text="Erreur">
      <formula>NOT(ISERROR(SEARCH("Erreur",A17)))</formula>
    </cfRule>
    <cfRule type="containsText" dxfId="166" priority="19" operator="containsText" text="Erreur">
      <formula>NOT(ISERROR(SEARCH("Erreur",A17)))</formula>
    </cfRule>
    <cfRule type="containsText" dxfId="165" priority="20" operator="containsText" text="Erreur">
      <formula>NOT(ISERROR(SEARCH("Erreur",A17)))</formula>
    </cfRule>
    <cfRule type="cellIs" dxfId="164" priority="21" operator="lessThan">
      <formula>0</formula>
    </cfRule>
  </conditionalFormatting>
  <conditionalFormatting sqref="R11">
    <cfRule type="containsText" dxfId="163" priority="17" operator="containsText" text="Erreur">
      <formula>NOT(ISERROR(SEARCH("Erreur",R11)))</formula>
    </cfRule>
  </conditionalFormatting>
  <conditionalFormatting sqref="H24:L24">
    <cfRule type="containsText" dxfId="162" priority="16" operator="containsText" text="Erreur">
      <formula>NOT(ISERROR(SEARCH("Erreur",H24)))</formula>
    </cfRule>
  </conditionalFormatting>
  <conditionalFormatting sqref="L29:N30 L32:N36">
    <cfRule type="cellIs" dxfId="161" priority="15" operator="equal">
      <formula>"Erreur"</formula>
    </cfRule>
  </conditionalFormatting>
  <conditionalFormatting sqref="M10 M11:O13">
    <cfRule type="cellIs" dxfId="160" priority="13" operator="equal">
      <formula>"-"</formula>
    </cfRule>
    <cfRule type="cellIs" dxfId="159" priority="14" operator="equal">
      <formula>"Erreur"</formula>
    </cfRule>
  </conditionalFormatting>
  <conditionalFormatting sqref="A17:D17 L25:O25 G17:H17 L29:N30 L32:N36">
    <cfRule type="cellIs" dxfId="158" priority="12" operator="equal">
      <formula>"-"</formula>
    </cfRule>
  </conditionalFormatting>
  <conditionalFormatting sqref="E17:F17">
    <cfRule type="cellIs" dxfId="157" priority="7" operator="equal">
      <formula>"-"</formula>
    </cfRule>
    <cfRule type="containsText" dxfId="156" priority="8" operator="containsText" text="Erreur">
      <formula>NOT(ISERROR(SEARCH("Erreur",E17)))</formula>
    </cfRule>
    <cfRule type="containsText" dxfId="155" priority="9" operator="containsText" text="Erreur">
      <formula>NOT(ISERROR(SEARCH("Erreur",E17)))</formula>
    </cfRule>
    <cfRule type="containsText" dxfId="154" priority="10" operator="containsText" text="Erreur">
      <formula>NOT(ISERROR(SEARCH("Erreur",E17)))</formula>
    </cfRule>
    <cfRule type="cellIs" dxfId="153" priority="11" operator="lessThan">
      <formula>0</formula>
    </cfRule>
  </conditionalFormatting>
  <conditionalFormatting sqref="D24:O24">
    <cfRule type="cellIs" dxfId="152" priority="5" operator="equal">
      <formula>"-"</formula>
    </cfRule>
    <cfRule type="containsText" dxfId="151" priority="6" operator="containsText" text="Erreur">
      <formula>NOT(ISERROR(SEARCH("Erreur",D24)))</formula>
    </cfRule>
  </conditionalFormatting>
  <conditionalFormatting sqref="L39:N42">
    <cfRule type="cellIs" dxfId="150" priority="3" operator="equal">
      <formula>"Erreur"</formula>
    </cfRule>
    <cfRule type="cellIs" dxfId="149" priority="4" operator="equal">
      <formula>"-"</formula>
    </cfRule>
  </conditionalFormatting>
  <conditionalFormatting sqref="D24:G24">
    <cfRule type="cellIs" dxfId="148" priority="1" operator="equal">
      <formula>"-"</formula>
    </cfRule>
    <cfRule type="containsText" dxfId="147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E205"/>
  <sheetViews>
    <sheetView topLeftCell="A43" zoomScale="120" zoomScaleNormal="120" workbookViewId="0">
      <selection activeCell="E10" sqref="E10:F10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383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18</v>
      </c>
      <c r="E3" s="38"/>
      <c r="F3" s="38"/>
      <c r="G3" s="37" t="s">
        <v>18</v>
      </c>
      <c r="H3" s="38"/>
      <c r="I3" s="38"/>
      <c r="J3" s="37" t="s">
        <v>5</v>
      </c>
      <c r="K3" s="38"/>
      <c r="L3" s="38"/>
      <c r="M3" s="37" t="s">
        <v>6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9</v>
      </c>
      <c r="E4" s="38"/>
      <c r="F4" s="38"/>
      <c r="G4" s="38" t="s">
        <v>9</v>
      </c>
      <c r="H4" s="38"/>
      <c r="I4" s="38"/>
      <c r="J4" s="38" t="s">
        <v>8</v>
      </c>
      <c r="K4" s="38"/>
      <c r="L4" s="38"/>
      <c r="M4" s="38" t="s">
        <v>10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14</v>
      </c>
      <c r="E5" s="38"/>
      <c r="F5" s="38"/>
      <c r="G5" s="38" t="s">
        <v>19</v>
      </c>
      <c r="H5" s="38"/>
      <c r="I5" s="38"/>
      <c r="J5" s="38" t="s">
        <v>13</v>
      </c>
      <c r="K5" s="38"/>
      <c r="L5" s="38"/>
      <c r="M5" s="38" t="s">
        <v>13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443987</v>
      </c>
      <c r="D10" s="48"/>
      <c r="E10" s="47">
        <v>443987</v>
      </c>
      <c r="F10" s="48"/>
      <c r="G10" s="47">
        <v>444125</v>
      </c>
      <c r="H10" s="49"/>
      <c r="I10" s="47">
        <v>444496</v>
      </c>
      <c r="J10" s="48"/>
      <c r="K10" s="47">
        <v>444665</v>
      </c>
      <c r="L10" s="48"/>
      <c r="M10" s="50">
        <f>IF(OR(K10=0,C10=0),"-",IF((K10-C10)&lt;0,"Erreur",(K10-C10)))</f>
        <v>678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228853</v>
      </c>
      <c r="D11" s="63"/>
      <c r="E11" s="64"/>
      <c r="F11" s="64"/>
      <c r="G11" s="65"/>
      <c r="H11" s="66"/>
      <c r="I11" s="64"/>
      <c r="J11" s="64"/>
      <c r="K11" s="62">
        <v>228853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71654</v>
      </c>
      <c r="D12" s="63"/>
      <c r="E12" s="64"/>
      <c r="F12" s="64"/>
      <c r="G12" s="65"/>
      <c r="H12" s="66"/>
      <c r="I12" s="64"/>
      <c r="J12" s="64"/>
      <c r="K12" s="62">
        <v>71883</v>
      </c>
      <c r="L12" s="63"/>
      <c r="M12" s="57">
        <f>IF(OR(K12=0,C12=0),"-",IF((K12-C12)&lt;0,"Erreur",(K12-C12)))</f>
        <v>229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39145002</v>
      </c>
      <c r="D13" s="85"/>
      <c r="E13" s="84">
        <v>39147000</v>
      </c>
      <c r="F13" s="85"/>
      <c r="G13" s="84">
        <v>39150050</v>
      </c>
      <c r="H13" s="85"/>
      <c r="I13" s="84">
        <v>39151671</v>
      </c>
      <c r="J13" s="85"/>
      <c r="K13" s="84">
        <v>39152468</v>
      </c>
      <c r="L13" s="85"/>
      <c r="M13" s="57">
        <f>IF(OR(K13=0,C13=0),"-",IF((K13-C13)&lt;0,"Erreur",(K13-C13)))</f>
        <v>7466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>
        <v>111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>
        <v>17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138</v>
      </c>
      <c r="B17" s="94"/>
      <c r="C17" s="93">
        <f>IF(OR(I10=0,G10=0),"-",IF((I10-G10)&lt;0,"Erreur",(I10-G10)))</f>
        <v>371</v>
      </c>
      <c r="D17" s="94"/>
      <c r="E17" s="95">
        <f>IF(OR(I10=0,K10=0,C10=0,E10=0),"-",IF(((K10-I10)+(E10-C10))&lt;0,"Erreur",((K10-I10)+(E10-C10))))</f>
        <v>169</v>
      </c>
      <c r="F17" s="96"/>
      <c r="G17" s="97">
        <f>SUM(A17:F17)</f>
        <v>678</v>
      </c>
      <c r="H17" s="98"/>
      <c r="I17" s="3"/>
      <c r="J17" s="99" t="s">
        <v>44</v>
      </c>
      <c r="K17" s="100"/>
      <c r="L17" s="101" t="s">
        <v>405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111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19h44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8.5999999999985448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1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39145002</v>
      </c>
      <c r="E22" s="110"/>
      <c r="F22" s="110"/>
      <c r="G22" s="111"/>
      <c r="H22" s="112">
        <v>39149431</v>
      </c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39145232</v>
      </c>
      <c r="E23" s="110"/>
      <c r="F23" s="110"/>
      <c r="G23" s="111"/>
      <c r="H23" s="62">
        <v>39152468</v>
      </c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214342.60000002384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230</v>
      </c>
      <c r="E24" s="123"/>
      <c r="F24" s="123"/>
      <c r="G24" s="124"/>
      <c r="H24" s="122">
        <f>IF(OR(H22=0,H23=0),"-",IF((H23-H22)&lt;0,"Erreur",(H23-H22)))</f>
        <v>3037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3267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678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3.2669999999999999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674.73299999999995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7.4660000000000002</v>
      </c>
    </row>
    <row r="29" spans="1:23" ht="28.35" customHeight="1" thickTop="1" thickBot="1">
      <c r="B29" s="131" t="s">
        <v>63</v>
      </c>
      <c r="C29" s="132"/>
      <c r="D29" s="133">
        <v>746430304.5</v>
      </c>
      <c r="E29" s="133"/>
      <c r="F29" s="133"/>
      <c r="G29" s="133"/>
      <c r="H29" s="133">
        <v>746644647.10000002</v>
      </c>
      <c r="I29" s="133"/>
      <c r="J29" s="133"/>
      <c r="K29" s="133"/>
      <c r="L29" s="134">
        <f>IF(OR(H29=0,D29=0),"-",IF((H29-D29)&lt;0,"Erreur",(H29-D29)))</f>
        <v>214342.60000002384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2337</v>
      </c>
      <c r="E33" s="159"/>
      <c r="F33" s="159"/>
      <c r="G33" s="159"/>
      <c r="H33" s="159">
        <v>2338</v>
      </c>
      <c r="I33" s="159"/>
      <c r="J33" s="159"/>
      <c r="K33" s="159"/>
      <c r="L33" s="134">
        <f>IF(OR(H33=0,D33=0),"-",IF((H33-D33)&lt;0,"Erreur",(H33-D33)))</f>
        <v>1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2264</v>
      </c>
      <c r="E35" s="159"/>
      <c r="F35" s="159"/>
      <c r="G35" s="159"/>
      <c r="H35" s="159">
        <v>2265</v>
      </c>
      <c r="I35" s="159"/>
      <c r="J35" s="159"/>
      <c r="K35" s="159"/>
      <c r="L35" s="134">
        <f>IF(OR(H35=0,D35=0),"-",IF((H35-D35)&lt;0,"Erreur",(H35-D35)))</f>
        <v>1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>
        <v>1</v>
      </c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28061.9</v>
      </c>
      <c r="E39" s="167"/>
      <c r="F39" s="167"/>
      <c r="G39" s="168"/>
      <c r="H39" s="166">
        <v>28070.5</v>
      </c>
      <c r="I39" s="167"/>
      <c r="J39" s="167"/>
      <c r="K39" s="168"/>
      <c r="L39" s="134">
        <f>IF(OR(H39=0,D39=0),"-",IF((H39-D39)&lt;0,"Erreur",(H39-D39)))</f>
        <v>8.5999999999985448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28030</v>
      </c>
      <c r="E41" s="159"/>
      <c r="F41" s="159"/>
      <c r="G41" s="159"/>
      <c r="H41" s="159">
        <v>28038.6</v>
      </c>
      <c r="I41" s="159"/>
      <c r="J41" s="159"/>
      <c r="K41" s="159"/>
      <c r="L41" s="134">
        <f>IF(OR(H41=0,D41=0),"-",IF((H41-D41)&lt;0,"Erreur",(H41-D41)))</f>
        <v>8.5999999999985448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385</v>
      </c>
      <c r="B45" s="171"/>
      <c r="C45" s="278" t="s">
        <v>386</v>
      </c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80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387</v>
      </c>
      <c r="B46" s="188"/>
      <c r="C46" s="271" t="s">
        <v>204</v>
      </c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3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 t="s">
        <v>327</v>
      </c>
      <c r="B47" s="267"/>
      <c r="C47" s="189" t="s">
        <v>323</v>
      </c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1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 t="s">
        <v>388</v>
      </c>
      <c r="B48" s="181"/>
      <c r="C48" s="180" t="s">
        <v>325</v>
      </c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7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 t="s">
        <v>330</v>
      </c>
      <c r="B49" s="179"/>
      <c r="C49" s="189" t="s">
        <v>352</v>
      </c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1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 t="s">
        <v>389</v>
      </c>
      <c r="B50" s="183"/>
      <c r="C50" s="172" t="s">
        <v>213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2" t="s">
        <v>393</v>
      </c>
      <c r="B51" s="183"/>
      <c r="C51" s="189" t="s">
        <v>392</v>
      </c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1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 t="s">
        <v>394</v>
      </c>
      <c r="B52" s="181"/>
      <c r="C52" s="271" t="s">
        <v>395</v>
      </c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3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 t="s">
        <v>396</v>
      </c>
      <c r="B53" s="176"/>
      <c r="C53" s="271" t="s">
        <v>423</v>
      </c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5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 t="s">
        <v>361</v>
      </c>
      <c r="B54" s="176"/>
      <c r="C54" s="271" t="s">
        <v>397</v>
      </c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5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 t="s">
        <v>99</v>
      </c>
      <c r="B55" s="176"/>
      <c r="C55" s="271" t="s">
        <v>400</v>
      </c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 t="s">
        <v>398</v>
      </c>
      <c r="B56" s="176"/>
      <c r="C56" s="271" t="s">
        <v>399</v>
      </c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3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 t="s">
        <v>401</v>
      </c>
      <c r="B57" s="176"/>
      <c r="C57" s="180" t="s">
        <v>402</v>
      </c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7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 t="s">
        <v>403</v>
      </c>
      <c r="B58" s="176"/>
      <c r="C58" s="189" t="s">
        <v>404</v>
      </c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1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 t="s">
        <v>413</v>
      </c>
      <c r="B59" s="176"/>
      <c r="C59" s="189" t="s">
        <v>204</v>
      </c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1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75" t="s">
        <v>406</v>
      </c>
      <c r="B60" s="176"/>
      <c r="C60" s="189" t="s">
        <v>407</v>
      </c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 t="s">
        <v>25</v>
      </c>
      <c r="B61" s="176"/>
      <c r="C61" s="189" t="s">
        <v>408</v>
      </c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1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81"/>
      <c r="B62" s="181"/>
      <c r="C62" s="189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1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>
        <v>267029</v>
      </c>
      <c r="B69" s="219"/>
      <c r="C69" s="220" t="s">
        <v>390</v>
      </c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>
        <v>267028</v>
      </c>
      <c r="B70" s="212"/>
      <c r="C70" s="213" t="s">
        <v>391</v>
      </c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/>
      <c r="B82" s="231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C58" name="Plage2_2_2_1_2_1_2_1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:B51" name="Plage2_4_2_1"/>
    <protectedRange password="EC6D" sqref="B52" name="Plage2_4_2_3"/>
    <protectedRange password="EC6D" sqref="B53:B54" name="Plage2_4_2_4"/>
    <protectedRange password="EC6D" sqref="B58" name="Plage2_4_2_9"/>
    <protectedRange password="EC6D" sqref="B59:B61" name="Plage2_4_2_10"/>
    <protectedRange password="EC6D" sqref="B62" name="Plage2_7"/>
    <protectedRange password="EC6D" sqref="B63" name="Plage2_4_2_13"/>
    <protectedRange password="EC6D" sqref="S50" name="Plage2_2_2_2_1_2_1_1"/>
    <protectedRange password="EC6D" sqref="C61:C62" name="Plage2_2_2_1_2_1_2_1_2_1"/>
    <protectedRange password="EC6D" sqref="C51" name="Plage2_2_2_1_2_1_2_1_1_1"/>
    <protectedRange password="EC6D" sqref="C52" name="Plage2_2_2_2_1_2_1_2_1_1"/>
    <protectedRange password="EC6D" sqref="C53" name="Plage2_2_2_2_1_2_1_2_2_1"/>
    <protectedRange password="EC6D" sqref="C54" name="Plage2_2_2_2_1_2_1_2_2_2"/>
    <protectedRange password="EC6D" sqref="B55" name="Plage2_4_2_4_1"/>
    <protectedRange password="EC6D" sqref="B56" name="Plage2_4_2_6_1"/>
    <protectedRange password="EC6D" sqref="B57" name="Plage2_4_2_7_1"/>
    <protectedRange password="EC6D" sqref="L57:N57 C57" name="Plage2_5_1_1"/>
    <protectedRange password="EC6D" sqref="C55:C56" name="Plage2_2_1_1_1_1_1_1_1_1_1_1"/>
    <protectedRange password="EC6D" sqref="C46" name="Plage2_2_2_2_1_2_1_2_1_1_1_1"/>
    <protectedRange password="EC6D" sqref="C45" name="Plage2_2_3_1_1_2_2"/>
    <protectedRange password="EC6D" sqref="C47 C59:C60" name="Plage2_2_2_1_2_1_2_1_2_1_1"/>
    <protectedRange password="EC6D" sqref="L48:N48 C48" name="Plage2_6_1_1_3_2"/>
    <protectedRange password="EC6D" sqref="C49" name="Plage2_2_2_1_2_1_2_2_1"/>
    <protectedRange password="EC6D" sqref="C50" name="Plage2_2_1"/>
  </protectedRanges>
  <mergeCells count="378"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146" priority="18" operator="containsText" text="Erreur">
      <formula>NOT(ISERROR(SEARCH("Erreur",A17)))</formula>
    </cfRule>
    <cfRule type="containsText" dxfId="145" priority="19" operator="containsText" text="Erreur">
      <formula>NOT(ISERROR(SEARCH("Erreur",A17)))</formula>
    </cfRule>
    <cfRule type="containsText" dxfId="144" priority="20" operator="containsText" text="Erreur">
      <formula>NOT(ISERROR(SEARCH("Erreur",A17)))</formula>
    </cfRule>
    <cfRule type="cellIs" dxfId="143" priority="21" operator="lessThan">
      <formula>0</formula>
    </cfRule>
  </conditionalFormatting>
  <conditionalFormatting sqref="R11">
    <cfRule type="containsText" dxfId="142" priority="17" operator="containsText" text="Erreur">
      <formula>NOT(ISERROR(SEARCH("Erreur",R11)))</formula>
    </cfRule>
  </conditionalFormatting>
  <conditionalFormatting sqref="H24:L24">
    <cfRule type="containsText" dxfId="141" priority="16" operator="containsText" text="Erreur">
      <formula>NOT(ISERROR(SEARCH("Erreur",H24)))</formula>
    </cfRule>
  </conditionalFormatting>
  <conditionalFormatting sqref="L29:N30 L32:N36">
    <cfRule type="cellIs" dxfId="140" priority="15" operator="equal">
      <formula>"Erreur"</formula>
    </cfRule>
  </conditionalFormatting>
  <conditionalFormatting sqref="M10 M11:O13">
    <cfRule type="cellIs" dxfId="139" priority="13" operator="equal">
      <formula>"-"</formula>
    </cfRule>
    <cfRule type="cellIs" dxfId="138" priority="14" operator="equal">
      <formula>"Erreur"</formula>
    </cfRule>
  </conditionalFormatting>
  <conditionalFormatting sqref="A17:D17 L25:O25 G17:H17 L29:N30 L32:N36">
    <cfRule type="cellIs" dxfId="137" priority="12" operator="equal">
      <formula>"-"</formula>
    </cfRule>
  </conditionalFormatting>
  <conditionalFormatting sqref="E17:F17">
    <cfRule type="cellIs" dxfId="136" priority="7" operator="equal">
      <formula>"-"</formula>
    </cfRule>
    <cfRule type="containsText" dxfId="135" priority="8" operator="containsText" text="Erreur">
      <formula>NOT(ISERROR(SEARCH("Erreur",E17)))</formula>
    </cfRule>
    <cfRule type="containsText" dxfId="134" priority="9" operator="containsText" text="Erreur">
      <formula>NOT(ISERROR(SEARCH("Erreur",E17)))</formula>
    </cfRule>
    <cfRule type="containsText" dxfId="133" priority="10" operator="containsText" text="Erreur">
      <formula>NOT(ISERROR(SEARCH("Erreur",E17)))</formula>
    </cfRule>
    <cfRule type="cellIs" dxfId="132" priority="11" operator="lessThan">
      <formula>0</formula>
    </cfRule>
  </conditionalFormatting>
  <conditionalFormatting sqref="D24:O24">
    <cfRule type="cellIs" dxfId="131" priority="5" operator="equal">
      <formula>"-"</formula>
    </cfRule>
    <cfRule type="containsText" dxfId="130" priority="6" operator="containsText" text="Erreur">
      <formula>NOT(ISERROR(SEARCH("Erreur",D24)))</formula>
    </cfRule>
  </conditionalFormatting>
  <conditionalFormatting sqref="L39:N42">
    <cfRule type="cellIs" dxfId="129" priority="3" operator="equal">
      <formula>"Erreur"</formula>
    </cfRule>
    <cfRule type="cellIs" dxfId="128" priority="4" operator="equal">
      <formula>"-"</formula>
    </cfRule>
  </conditionalFormatting>
  <conditionalFormatting sqref="D24:G24">
    <cfRule type="cellIs" dxfId="127" priority="1" operator="equal">
      <formula>"-"</formula>
    </cfRule>
    <cfRule type="containsText" dxfId="126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E205"/>
  <sheetViews>
    <sheetView topLeftCell="A40" zoomScale="120" zoomScaleNormal="120" workbookViewId="0">
      <selection activeCell="Q42" sqref="Q42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409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6</v>
      </c>
      <c r="E3" s="38"/>
      <c r="F3" s="38"/>
      <c r="G3" s="37" t="s">
        <v>6</v>
      </c>
      <c r="H3" s="38"/>
      <c r="I3" s="38"/>
      <c r="J3" s="37" t="s">
        <v>5</v>
      </c>
      <c r="K3" s="38"/>
      <c r="L3" s="38"/>
      <c r="M3" s="37" t="s">
        <v>6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10</v>
      </c>
      <c r="E4" s="38"/>
      <c r="F4" s="38"/>
      <c r="G4" s="38" t="s">
        <v>8</v>
      </c>
      <c r="H4" s="38"/>
      <c r="I4" s="38"/>
      <c r="J4" s="38" t="s">
        <v>8</v>
      </c>
      <c r="K4" s="38"/>
      <c r="L4" s="38"/>
      <c r="M4" s="38" t="s">
        <v>10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13</v>
      </c>
      <c r="E5" s="38"/>
      <c r="F5" s="38"/>
      <c r="G5" s="38" t="s">
        <v>19</v>
      </c>
      <c r="H5" s="38"/>
      <c r="I5" s="38"/>
      <c r="J5" s="38" t="s">
        <v>93</v>
      </c>
      <c r="K5" s="38"/>
      <c r="L5" s="38"/>
      <c r="M5" s="38" t="s">
        <v>13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 t="s">
        <v>28</v>
      </c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444665</v>
      </c>
      <c r="D10" s="48"/>
      <c r="E10" s="47">
        <v>444668</v>
      </c>
      <c r="F10" s="49"/>
      <c r="G10" s="47">
        <v>444668</v>
      </c>
      <c r="H10" s="49"/>
      <c r="I10" s="47">
        <v>444914</v>
      </c>
      <c r="J10" s="48"/>
      <c r="K10" s="47">
        <v>445002</v>
      </c>
      <c r="L10" s="48"/>
      <c r="M10" s="50">
        <f>IF(OR(K10=0,C10=0),"-",IF((K10-C10)&lt;0,"Erreur",(K10-C10)))</f>
        <v>337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228853</v>
      </c>
      <c r="D11" s="63"/>
      <c r="E11" s="64"/>
      <c r="F11" s="64"/>
      <c r="G11" s="65"/>
      <c r="H11" s="66"/>
      <c r="I11" s="64"/>
      <c r="J11" s="64"/>
      <c r="K11" s="62">
        <v>228853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71883</v>
      </c>
      <c r="D12" s="63"/>
      <c r="E12" s="64"/>
      <c r="F12" s="64"/>
      <c r="G12" s="65"/>
      <c r="H12" s="66"/>
      <c r="I12" s="64"/>
      <c r="J12" s="64"/>
      <c r="K12" s="62">
        <v>71988</v>
      </c>
      <c r="L12" s="63"/>
      <c r="M12" s="57">
        <f>IF(OR(K12=0,C12=0),"-",IF((K12-C12)&lt;0,"Erreur",(K12-C12)))</f>
        <v>105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39152468</v>
      </c>
      <c r="D13" s="85"/>
      <c r="E13" s="84">
        <v>39154537</v>
      </c>
      <c r="F13" s="85"/>
      <c r="G13" s="84">
        <v>39157251</v>
      </c>
      <c r="H13" s="85"/>
      <c r="I13" s="84">
        <v>39158897</v>
      </c>
      <c r="J13" s="85"/>
      <c r="K13" s="84">
        <v>39159674</v>
      </c>
      <c r="L13" s="85"/>
      <c r="M13" s="57">
        <f>IF(OR(K13=0,C13=0),"-",IF((K13-C13)&lt;0,"Erreur",(K13-C13)))</f>
        <v>7206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>
        <v>109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>
        <v>18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0</v>
      </c>
      <c r="B17" s="94"/>
      <c r="C17" s="93">
        <f>IF(OR(I10=0,G10=0),"-",IF((I10-G10)&lt;0,"Erreur",(I10-G10)))</f>
        <v>246</v>
      </c>
      <c r="D17" s="94"/>
      <c r="E17" s="95">
        <f>IF(OR(I10=0,K10=0,C10=0,E10=0),"-",IF(((K10-I10)+(E10-C10))&lt;0,"Erreur",((K10-I10)+(E10-C10))))</f>
        <v>91</v>
      </c>
      <c r="F17" s="96"/>
      <c r="G17" s="97">
        <f>SUM(A17:F17)</f>
        <v>337</v>
      </c>
      <c r="H17" s="98"/>
      <c r="I17" s="3"/>
      <c r="J17" s="99" t="s">
        <v>44</v>
      </c>
      <c r="K17" s="100"/>
      <c r="L17" s="101" t="s">
        <v>425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109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22h05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4.5999999999985448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1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39152468</v>
      </c>
      <c r="E22" s="110"/>
      <c r="F22" s="110"/>
      <c r="G22" s="111"/>
      <c r="H22" s="112">
        <v>39157754</v>
      </c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39152510</v>
      </c>
      <c r="E23" s="110"/>
      <c r="F23" s="110"/>
      <c r="G23" s="111"/>
      <c r="H23" s="62">
        <v>39159365</v>
      </c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107764.69999992847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42</v>
      </c>
      <c r="E24" s="123"/>
      <c r="F24" s="123"/>
      <c r="G24" s="124"/>
      <c r="H24" s="122">
        <f>IF(OR(H22=0,H23=0),"-",IF((H23-H22)&lt;0,"Erreur",(H23-H22)))</f>
        <v>1611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1653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337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1.653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335.34699999999998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7.2060000000000004</v>
      </c>
    </row>
    <row r="29" spans="1:23" ht="28.35" customHeight="1" thickTop="1" thickBot="1">
      <c r="B29" s="131" t="s">
        <v>63</v>
      </c>
      <c r="C29" s="132"/>
      <c r="D29" s="133">
        <v>746644647.10000002</v>
      </c>
      <c r="E29" s="133"/>
      <c r="F29" s="133"/>
      <c r="G29" s="133"/>
      <c r="H29" s="133">
        <v>746752411.79999995</v>
      </c>
      <c r="I29" s="133"/>
      <c r="J29" s="133"/>
      <c r="K29" s="133"/>
      <c r="L29" s="134">
        <f>IF(OR(H29=0,D29=0),"-",IF((H29-D29)&lt;0,"Erreur",(H29-D29)))</f>
        <v>107764.69999992847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2338</v>
      </c>
      <c r="E33" s="159"/>
      <c r="F33" s="159"/>
      <c r="G33" s="159"/>
      <c r="H33" s="159">
        <v>2339</v>
      </c>
      <c r="I33" s="159"/>
      <c r="J33" s="159"/>
      <c r="K33" s="159"/>
      <c r="L33" s="134">
        <f>IF(OR(H33=0,D33=0),"-",IF((H33-D33)&lt;0,"Erreur",(H33-D33)))</f>
        <v>1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2265</v>
      </c>
      <c r="E35" s="159"/>
      <c r="F35" s="159"/>
      <c r="G35" s="159"/>
      <c r="H35" s="159">
        <v>2266</v>
      </c>
      <c r="I35" s="159"/>
      <c r="J35" s="159"/>
      <c r="K35" s="159"/>
      <c r="L35" s="134">
        <f>IF(OR(H35=0,D35=0),"-",IF((H35-D35)&lt;0,"Erreur",(H35-D35)))</f>
        <v>1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>
        <v>1</v>
      </c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28070.5</v>
      </c>
      <c r="E39" s="167"/>
      <c r="F39" s="167"/>
      <c r="G39" s="168"/>
      <c r="H39" s="166">
        <v>28075.1</v>
      </c>
      <c r="I39" s="167"/>
      <c r="J39" s="167"/>
      <c r="K39" s="168"/>
      <c r="L39" s="134">
        <f>IF(OR(H39=0,D39=0),"-",IF((H39-D39)&lt;0,"Erreur",(H39-D39)))</f>
        <v>4.5999999999985448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59">
        <v>361.9</v>
      </c>
      <c r="E40" s="159"/>
      <c r="F40" s="159"/>
      <c r="G40" s="159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59">
        <v>28038.6</v>
      </c>
      <c r="E41" s="159"/>
      <c r="F41" s="159"/>
      <c r="G41" s="159"/>
      <c r="H41" s="159">
        <v>28043.200000000001</v>
      </c>
      <c r="I41" s="159"/>
      <c r="J41" s="159"/>
      <c r="K41" s="159"/>
      <c r="L41" s="134">
        <f>IF(OR(H41=0,D41=0),"-",IF((H41-D41)&lt;0,"Erreur",(H41-D41)))</f>
        <v>4.6000000000021828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77">
        <v>36.5</v>
      </c>
      <c r="E42" s="177"/>
      <c r="F42" s="177"/>
      <c r="G42" s="177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89" t="s">
        <v>408</v>
      </c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1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410</v>
      </c>
      <c r="B46" s="188"/>
      <c r="C46" s="180" t="s">
        <v>428</v>
      </c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7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 t="s">
        <v>411</v>
      </c>
      <c r="B47" s="267"/>
      <c r="C47" s="189" t="s">
        <v>414</v>
      </c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1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 t="s">
        <v>412</v>
      </c>
      <c r="B48" s="181"/>
      <c r="C48" s="180" t="s">
        <v>431</v>
      </c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7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 t="s">
        <v>324</v>
      </c>
      <c r="B49" s="179"/>
      <c r="C49" s="172" t="s">
        <v>300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4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 t="s">
        <v>415</v>
      </c>
      <c r="B50" s="183"/>
      <c r="C50" s="172" t="s">
        <v>392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2" t="s">
        <v>416</v>
      </c>
      <c r="B51" s="183"/>
      <c r="C51" s="271" t="s">
        <v>395</v>
      </c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3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 t="s">
        <v>417</v>
      </c>
      <c r="B52" s="181"/>
      <c r="C52" s="271" t="s">
        <v>422</v>
      </c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5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 t="s">
        <v>418</v>
      </c>
      <c r="B53" s="176"/>
      <c r="C53" s="271" t="s">
        <v>397</v>
      </c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5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 t="s">
        <v>419</v>
      </c>
      <c r="B54" s="176"/>
      <c r="C54" s="271" t="s">
        <v>400</v>
      </c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3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 t="s">
        <v>419</v>
      </c>
      <c r="B55" s="176"/>
      <c r="C55" s="271" t="s">
        <v>399</v>
      </c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 t="s">
        <v>420</v>
      </c>
      <c r="B56" s="176"/>
      <c r="C56" s="271" t="s">
        <v>421</v>
      </c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3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 t="s">
        <v>426</v>
      </c>
      <c r="B57" s="176"/>
      <c r="C57" s="180" t="s">
        <v>105</v>
      </c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7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 t="s">
        <v>427</v>
      </c>
      <c r="B58" s="176"/>
      <c r="C58" s="189" t="s">
        <v>407</v>
      </c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1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 t="s">
        <v>347</v>
      </c>
      <c r="B59" s="176"/>
      <c r="C59" s="180" t="s">
        <v>428</v>
      </c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7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 t="s">
        <v>429</v>
      </c>
      <c r="B60" s="181"/>
      <c r="C60" s="189" t="s">
        <v>414</v>
      </c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 t="s">
        <v>430</v>
      </c>
      <c r="B61" s="176"/>
      <c r="C61" s="180" t="s">
        <v>432</v>
      </c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 t="s">
        <v>433</v>
      </c>
      <c r="B62" s="176"/>
      <c r="C62" s="172" t="s">
        <v>300</v>
      </c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>
        <v>266977</v>
      </c>
      <c r="B69" s="219"/>
      <c r="C69" s="220" t="s">
        <v>424</v>
      </c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/>
      <c r="B70" s="212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/>
      <c r="B82" s="231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:B51" name="Plage2_4_2_1"/>
    <protectedRange password="EC6D" sqref="B52" name="Plage2_4_2_3"/>
    <protectedRange password="EC6D" sqref="B53:B54" name="Plage2_4_2_4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S50" name="Plage2_2_2_2_1_2_1_1"/>
    <protectedRange password="EC6D" sqref="C45" name="Plage2_2_2_1_2_1_2_1_2_1"/>
    <protectedRange password="EC6D" sqref="B55" name="Plage2_4_2_4_1"/>
    <protectedRange password="EC6D" sqref="B56" name="Plage2_4_2_6_1"/>
    <protectedRange password="EC6D" sqref="B57" name="Plage2_4_2_7_1"/>
    <protectedRange password="EC6D" sqref="L57:N57 C57" name="Plage2_5_1_1"/>
    <protectedRange password="EC6D" sqref="C56" name="Plage2_2_1_1_1_1_1_1_1_1_1_1"/>
    <protectedRange password="EC6D" sqref="L48:N48 C48 L46:N46 C46 L59:N59 C59 L61:N61 C61" name="Plage2_6_1_1_3_2"/>
    <protectedRange password="EC6D" sqref="C47 C60" name="Plage2_2_2_1_2_1_2_2_1"/>
    <protectedRange password="EC6D" sqref="C49:C50 C62" name="Plage2_2_1"/>
    <protectedRange password="EC6D" sqref="C51" name="Plage2_2_2_2_1_2_1_2_1_1_1"/>
    <protectedRange password="EC6D" sqref="C52" name="Plage2_2_2_2_1_2_1_2_2_1_1"/>
    <protectedRange password="EC6D" sqref="C53" name="Plage2_2_2_2_1_2_1_2_2_2_1"/>
    <protectedRange password="EC6D" sqref="C54" name="Plage2_2_1_1_1_1_1_1_1_1_1_1_1"/>
    <protectedRange password="EC6D" sqref="C55" name="Plage2_2_1_1_1_1_1_1_1_1_1_1_2"/>
    <protectedRange password="EC6D" sqref="C58" name="Plage2_2_2_1_2_1_2_1_2_1_1_1"/>
  </protectedRanges>
  <mergeCells count="378"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</mergeCells>
  <conditionalFormatting sqref="A17 C17 E17:F17">
    <cfRule type="containsText" dxfId="125" priority="18" operator="containsText" text="Erreur">
      <formula>NOT(ISERROR(SEARCH("Erreur",A17)))</formula>
    </cfRule>
    <cfRule type="containsText" dxfId="124" priority="19" operator="containsText" text="Erreur">
      <formula>NOT(ISERROR(SEARCH("Erreur",A17)))</formula>
    </cfRule>
    <cfRule type="containsText" dxfId="123" priority="20" operator="containsText" text="Erreur">
      <formula>NOT(ISERROR(SEARCH("Erreur",A17)))</formula>
    </cfRule>
    <cfRule type="cellIs" dxfId="122" priority="21" operator="lessThan">
      <formula>0</formula>
    </cfRule>
  </conditionalFormatting>
  <conditionalFormatting sqref="R11">
    <cfRule type="containsText" dxfId="121" priority="17" operator="containsText" text="Erreur">
      <formula>NOT(ISERROR(SEARCH("Erreur",R11)))</formula>
    </cfRule>
  </conditionalFormatting>
  <conditionalFormatting sqref="H24:L24">
    <cfRule type="containsText" dxfId="120" priority="16" operator="containsText" text="Erreur">
      <formula>NOT(ISERROR(SEARCH("Erreur",H24)))</formula>
    </cfRule>
  </conditionalFormatting>
  <conditionalFormatting sqref="L29:N30 L32:N36">
    <cfRule type="cellIs" dxfId="119" priority="15" operator="equal">
      <formula>"Erreur"</formula>
    </cfRule>
  </conditionalFormatting>
  <conditionalFormatting sqref="M10 M11:O13">
    <cfRule type="cellIs" dxfId="118" priority="13" operator="equal">
      <formula>"-"</formula>
    </cfRule>
    <cfRule type="cellIs" dxfId="117" priority="14" operator="equal">
      <formula>"Erreur"</formula>
    </cfRule>
  </conditionalFormatting>
  <conditionalFormatting sqref="A17:D17 L25:O25 G17:H17 L29:N30 L32:N36">
    <cfRule type="cellIs" dxfId="116" priority="12" operator="equal">
      <formula>"-"</formula>
    </cfRule>
  </conditionalFormatting>
  <conditionalFormatting sqref="E17:F17">
    <cfRule type="cellIs" dxfId="115" priority="7" operator="equal">
      <formula>"-"</formula>
    </cfRule>
    <cfRule type="containsText" dxfId="114" priority="8" operator="containsText" text="Erreur">
      <formula>NOT(ISERROR(SEARCH("Erreur",E17)))</formula>
    </cfRule>
    <cfRule type="containsText" dxfId="113" priority="9" operator="containsText" text="Erreur">
      <formula>NOT(ISERROR(SEARCH("Erreur",E17)))</formula>
    </cfRule>
    <cfRule type="containsText" dxfId="112" priority="10" operator="containsText" text="Erreur">
      <formula>NOT(ISERROR(SEARCH("Erreur",E17)))</formula>
    </cfRule>
    <cfRule type="cellIs" dxfId="111" priority="11" operator="lessThan">
      <formula>0</formula>
    </cfRule>
  </conditionalFormatting>
  <conditionalFormatting sqref="D24:O24">
    <cfRule type="cellIs" dxfId="110" priority="5" operator="equal">
      <formula>"-"</formula>
    </cfRule>
    <cfRule type="containsText" dxfId="109" priority="6" operator="containsText" text="Erreur">
      <formula>NOT(ISERROR(SEARCH("Erreur",D24)))</formula>
    </cfRule>
  </conditionalFormatting>
  <conditionalFormatting sqref="L39:N42">
    <cfRule type="cellIs" dxfId="108" priority="3" operator="equal">
      <formula>"Erreur"</formula>
    </cfRule>
    <cfRule type="cellIs" dxfId="107" priority="4" operator="equal">
      <formula>"-"</formula>
    </cfRule>
  </conditionalFormatting>
  <conditionalFormatting sqref="D24:G24">
    <cfRule type="cellIs" dxfId="106" priority="1" operator="equal">
      <formula>"-"</formula>
    </cfRule>
    <cfRule type="containsText" dxfId="105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E205"/>
  <sheetViews>
    <sheetView topLeftCell="A37" zoomScale="120" zoomScaleNormal="120" workbookViewId="0">
      <selection activeCell="K13" sqref="K13:L13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434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6</v>
      </c>
      <c r="E3" s="38"/>
      <c r="F3" s="38"/>
      <c r="G3" s="37" t="s">
        <v>5</v>
      </c>
      <c r="H3" s="38"/>
      <c r="I3" s="38"/>
      <c r="J3" s="37" t="s">
        <v>18</v>
      </c>
      <c r="K3" s="38"/>
      <c r="L3" s="38"/>
      <c r="M3" s="37" t="s">
        <v>18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10</v>
      </c>
      <c r="E4" s="38"/>
      <c r="F4" s="38"/>
      <c r="G4" s="38" t="s">
        <v>8</v>
      </c>
      <c r="H4" s="38"/>
      <c r="I4" s="38"/>
      <c r="J4" s="38" t="s">
        <v>9</v>
      </c>
      <c r="K4" s="38"/>
      <c r="L4" s="38"/>
      <c r="M4" s="38" t="s">
        <v>9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13</v>
      </c>
      <c r="E5" s="38"/>
      <c r="F5" s="38"/>
      <c r="G5" s="38" t="s">
        <v>93</v>
      </c>
      <c r="H5" s="38"/>
      <c r="I5" s="38"/>
      <c r="J5" s="38" t="s">
        <v>14</v>
      </c>
      <c r="K5" s="38"/>
      <c r="L5" s="38"/>
      <c r="M5" s="38" t="s">
        <v>14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/>
      <c r="K6" s="38"/>
      <c r="L6" s="38"/>
      <c r="M6" s="38" t="s">
        <v>28</v>
      </c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445002</v>
      </c>
      <c r="D10" s="48"/>
      <c r="E10" s="47">
        <v>445002</v>
      </c>
      <c r="F10" s="48"/>
      <c r="G10" s="47">
        <v>445002</v>
      </c>
      <c r="H10" s="49"/>
      <c r="I10" s="47">
        <v>445002</v>
      </c>
      <c r="J10" s="48"/>
      <c r="K10" s="47">
        <v>445002</v>
      </c>
      <c r="L10" s="48"/>
      <c r="M10" s="50">
        <f>IF(OR(K10=0,C10=0),"-",IF((K10-C10)&lt;0,"Erreur",(K10-C10)))</f>
        <v>0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228853</v>
      </c>
      <c r="D11" s="63"/>
      <c r="E11" s="64"/>
      <c r="F11" s="64"/>
      <c r="G11" s="65"/>
      <c r="H11" s="66"/>
      <c r="I11" s="64"/>
      <c r="J11" s="64"/>
      <c r="K11" s="62">
        <v>228853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71988</v>
      </c>
      <c r="D12" s="63"/>
      <c r="E12" s="64"/>
      <c r="F12" s="64"/>
      <c r="G12" s="65"/>
      <c r="H12" s="66"/>
      <c r="I12" s="64"/>
      <c r="J12" s="64"/>
      <c r="K12" s="62">
        <v>71988</v>
      </c>
      <c r="L12" s="63"/>
      <c r="M12" s="57">
        <f>IF(OR(K12=0,C12=0),"-",IF((K12-C12)&lt;0,"Erreur",(K12-C12)))</f>
        <v>0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39159674</v>
      </c>
      <c r="D13" s="85"/>
      <c r="E13" s="84">
        <v>39161750</v>
      </c>
      <c r="F13" s="85"/>
      <c r="G13" s="84">
        <v>39164867</v>
      </c>
      <c r="H13" s="85"/>
      <c r="I13" s="84">
        <v>39165803</v>
      </c>
      <c r="J13" s="85"/>
      <c r="K13" s="84">
        <v>39166213</v>
      </c>
      <c r="L13" s="85"/>
      <c r="M13" s="57">
        <f>IF(OR(K13=0,C13=0),"-",IF((K13-C13)&lt;0,"Erreur",(K13-C13)))</f>
        <v>6539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/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/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0</v>
      </c>
      <c r="B17" s="94"/>
      <c r="C17" s="93">
        <f>IF(OR(I10=0,G10=0),"-",IF((I10-G10)&lt;0,"Erreur",(I10-G10)))</f>
        <v>0</v>
      </c>
      <c r="D17" s="94"/>
      <c r="E17" s="95">
        <f>IF(OR(I10=0,K10=0,C10=0,E10=0),"-",IF(((K10-I10)+(E10-C10))&lt;0,"Erreur",((K10-I10)+(E10-C10))))</f>
        <v>0</v>
      </c>
      <c r="F17" s="96"/>
      <c r="G17" s="97">
        <f>SUM(A17:F17)</f>
        <v>0</v>
      </c>
      <c r="H17" s="98"/>
      <c r="I17" s="3"/>
      <c r="J17" s="99" t="s">
        <v>44</v>
      </c>
      <c r="K17" s="100"/>
      <c r="L17" s="101"/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0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/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>
        <f>L17</f>
        <v>0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0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/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/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0</v>
      </c>
    </row>
    <row r="24" spans="1:23" ht="22.5" customHeight="1" thickBot="1">
      <c r="A24" s="120" t="s">
        <v>55</v>
      </c>
      <c r="B24" s="121"/>
      <c r="C24" s="121"/>
      <c r="D24" s="122" t="str">
        <f>IF(OR(D22=0,D23=0),"-",IF((D23-D22)&lt;0,"Erreur",(D23-D22)))</f>
        <v>-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 t="str">
        <f>IF(SUM(D24:O24)=0,"-",SUM(D24:O24))</f>
        <v>-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0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 t="e">
        <f>L25/1000</f>
        <v>#VALUE!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 t="e">
        <f>IF(AND(W25=0, W26="-"), "-",W25-(W26))</f>
        <v>#VALUE!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6.5389999999999997</v>
      </c>
    </row>
    <row r="29" spans="1:23" ht="28.35" customHeight="1" thickTop="1" thickBot="1">
      <c r="B29" s="131" t="s">
        <v>63</v>
      </c>
      <c r="C29" s="132"/>
      <c r="D29" s="133">
        <v>746752411.79999995</v>
      </c>
      <c r="E29" s="133"/>
      <c r="F29" s="133"/>
      <c r="G29" s="133"/>
      <c r="H29" s="133">
        <v>746752411.79999995</v>
      </c>
      <c r="I29" s="133"/>
      <c r="J29" s="133"/>
      <c r="K29" s="133"/>
      <c r="L29" s="134">
        <f>IF(OR(H29=0,D29=0),"-",IF((H29-D29)&lt;0,"Erreur",(H29-D29)))</f>
        <v>0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2339</v>
      </c>
      <c r="E33" s="159"/>
      <c r="F33" s="159"/>
      <c r="G33" s="159"/>
      <c r="H33" s="159">
        <v>2339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2266</v>
      </c>
      <c r="E35" s="159"/>
      <c r="F35" s="159"/>
      <c r="G35" s="159"/>
      <c r="H35" s="159">
        <v>2266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28075.1</v>
      </c>
      <c r="E39" s="167"/>
      <c r="F39" s="167"/>
      <c r="G39" s="168"/>
      <c r="H39" s="166">
        <v>28075.1</v>
      </c>
      <c r="I39" s="167"/>
      <c r="J39" s="167"/>
      <c r="K39" s="168"/>
      <c r="L39" s="134">
        <f>IF(OR(H39=0,D39=0),"-",IF((H39-D39)&lt;0,"Erreur",(H39-D39)))</f>
        <v>0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60">
        <v>361.9</v>
      </c>
      <c r="E40" s="161"/>
      <c r="F40" s="161"/>
      <c r="G40" s="162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60">
        <v>28043.200000000001</v>
      </c>
      <c r="E41" s="161"/>
      <c r="F41" s="161"/>
      <c r="G41" s="162"/>
      <c r="H41" s="159">
        <v>28043.200000000001</v>
      </c>
      <c r="I41" s="159"/>
      <c r="J41" s="159"/>
      <c r="K41" s="159"/>
      <c r="L41" s="134">
        <f>IF(OR(H41=0,D41=0),"-",IF((H41-D41)&lt;0,"Erreur",(H41-D41)))</f>
        <v>0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51">
        <v>36.5</v>
      </c>
      <c r="E42" s="152"/>
      <c r="F42" s="152"/>
      <c r="G42" s="153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72" t="s">
        <v>300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4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278</v>
      </c>
      <c r="B46" s="188"/>
      <c r="C46" s="180" t="s">
        <v>432</v>
      </c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7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 t="s">
        <v>435</v>
      </c>
      <c r="B47" s="267"/>
      <c r="C47" s="189" t="s">
        <v>436</v>
      </c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1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/>
      <c r="B48" s="181"/>
      <c r="C48" s="180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7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/>
      <c r="B49" s="179"/>
      <c r="C49" s="17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4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/>
      <c r="B50" s="183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2"/>
      <c r="B51" s="183"/>
      <c r="C51" s="271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3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/>
      <c r="B52" s="181"/>
      <c r="C52" s="271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5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271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5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271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3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/>
      <c r="B55" s="176"/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/>
      <c r="B56" s="176"/>
      <c r="C56" s="271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3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0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7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/>
      <c r="B58" s="176"/>
      <c r="C58" s="189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1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/>
      <c r="B59" s="176"/>
      <c r="C59" s="180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7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/>
      <c r="B60" s="181"/>
      <c r="C60" s="189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/>
      <c r="B61" s="176"/>
      <c r="C61" s="18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/>
      <c r="B62" s="176"/>
      <c r="C62" s="172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/>
      <c r="B69" s="219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/>
      <c r="B70" s="212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/>
      <c r="B82" s="231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:B51" name="Plage2_4_2_1"/>
    <protectedRange password="EC6D" sqref="B52" name="Plage2_4_2_3"/>
    <protectedRange password="EC6D" sqref="B53:B54" name="Plage2_4_2_4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S50" name="Plage2_2_2_2_1_2_1_1"/>
    <protectedRange password="EC6D" sqref="B55" name="Plage2_4_2_4_1"/>
    <protectedRange password="EC6D" sqref="B56" name="Plage2_4_2_6_1"/>
    <protectedRange password="EC6D" sqref="B57" name="Plage2_4_2_7_1"/>
    <protectedRange password="EC6D" sqref="L57:N57 C57" name="Plage2_5_1_1"/>
    <protectedRange password="EC6D" sqref="C56" name="Plage2_2_1_1_1_1_1_1_1_1_1_1"/>
    <protectedRange password="EC6D" sqref="L48:N48 C48 L59:N59 C59 L61:N61 C61" name="Plage2_6_1_1_3_2"/>
    <protectedRange password="EC6D" sqref="C47 C60" name="Plage2_2_2_1_2_1_2_2_1"/>
    <protectedRange password="EC6D" sqref="C49:C50 C62 C45" name="Plage2_2_1"/>
    <protectedRange password="EC6D" sqref="C51" name="Plage2_2_2_2_1_2_1_2_1_1_1"/>
    <protectedRange password="EC6D" sqref="C52" name="Plage2_2_2_2_1_2_1_2_2_1_1"/>
    <protectedRange password="EC6D" sqref="C53" name="Plage2_2_2_2_1_2_1_2_2_2_1"/>
    <protectedRange password="EC6D" sqref="C54" name="Plage2_2_1_1_1_1_1_1_1_1_1_1_1"/>
    <protectedRange password="EC6D" sqref="C55" name="Plage2_2_1_1_1_1_1_1_1_1_1_1_2"/>
    <protectedRange password="EC6D" sqref="C58" name="Plage2_2_2_1_2_1_2_1_2_1_1_1"/>
    <protectedRange password="EC6D" sqref="L46:N46 C46" name="Plage2_6_1_1_3_2_1"/>
  </protectedRanges>
  <mergeCells count="378"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104" priority="18" operator="containsText" text="Erreur">
      <formula>NOT(ISERROR(SEARCH("Erreur",A17)))</formula>
    </cfRule>
    <cfRule type="containsText" dxfId="103" priority="19" operator="containsText" text="Erreur">
      <formula>NOT(ISERROR(SEARCH("Erreur",A17)))</formula>
    </cfRule>
    <cfRule type="containsText" dxfId="102" priority="20" operator="containsText" text="Erreur">
      <formula>NOT(ISERROR(SEARCH("Erreur",A17)))</formula>
    </cfRule>
    <cfRule type="cellIs" dxfId="101" priority="21" operator="lessThan">
      <formula>0</formula>
    </cfRule>
  </conditionalFormatting>
  <conditionalFormatting sqref="R11">
    <cfRule type="containsText" dxfId="100" priority="17" operator="containsText" text="Erreur">
      <formula>NOT(ISERROR(SEARCH("Erreur",R11)))</formula>
    </cfRule>
  </conditionalFormatting>
  <conditionalFormatting sqref="H24:L24">
    <cfRule type="containsText" dxfId="99" priority="16" operator="containsText" text="Erreur">
      <formula>NOT(ISERROR(SEARCH("Erreur",H24)))</formula>
    </cfRule>
  </conditionalFormatting>
  <conditionalFormatting sqref="L29:N30 L32:N36">
    <cfRule type="cellIs" dxfId="98" priority="15" operator="equal">
      <formula>"Erreur"</formula>
    </cfRule>
  </conditionalFormatting>
  <conditionalFormatting sqref="M10 M11:O13">
    <cfRule type="cellIs" dxfId="97" priority="13" operator="equal">
      <formula>"-"</formula>
    </cfRule>
    <cfRule type="cellIs" dxfId="96" priority="14" operator="equal">
      <formula>"Erreur"</formula>
    </cfRule>
  </conditionalFormatting>
  <conditionalFormatting sqref="A17:D17 L25:O25 G17:H17 L29:N30 L32:N36">
    <cfRule type="cellIs" dxfId="95" priority="12" operator="equal">
      <formula>"-"</formula>
    </cfRule>
  </conditionalFormatting>
  <conditionalFormatting sqref="E17:F17">
    <cfRule type="cellIs" dxfId="94" priority="7" operator="equal">
      <formula>"-"</formula>
    </cfRule>
    <cfRule type="containsText" dxfId="93" priority="8" operator="containsText" text="Erreur">
      <formula>NOT(ISERROR(SEARCH("Erreur",E17)))</formula>
    </cfRule>
    <cfRule type="containsText" dxfId="92" priority="9" operator="containsText" text="Erreur">
      <formula>NOT(ISERROR(SEARCH("Erreur",E17)))</formula>
    </cfRule>
    <cfRule type="containsText" dxfId="91" priority="10" operator="containsText" text="Erreur">
      <formula>NOT(ISERROR(SEARCH("Erreur",E17)))</formula>
    </cfRule>
    <cfRule type="cellIs" dxfId="90" priority="11" operator="lessThan">
      <formula>0</formula>
    </cfRule>
  </conditionalFormatting>
  <conditionalFormatting sqref="D24:O24">
    <cfRule type="cellIs" dxfId="89" priority="5" operator="equal">
      <formula>"-"</formula>
    </cfRule>
    <cfRule type="containsText" dxfId="88" priority="6" operator="containsText" text="Erreur">
      <formula>NOT(ISERROR(SEARCH("Erreur",D24)))</formula>
    </cfRule>
  </conditionalFormatting>
  <conditionalFormatting sqref="L39:N42">
    <cfRule type="cellIs" dxfId="87" priority="3" operator="equal">
      <formula>"Erreur"</formula>
    </cfRule>
    <cfRule type="cellIs" dxfId="86" priority="4" operator="equal">
      <formula>"-"</formula>
    </cfRule>
  </conditionalFormatting>
  <conditionalFormatting sqref="D24:G24">
    <cfRule type="cellIs" dxfId="85" priority="1" operator="equal">
      <formula>"-"</formula>
    </cfRule>
    <cfRule type="containsText" dxfId="84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E205"/>
  <sheetViews>
    <sheetView topLeftCell="A40" zoomScale="120" zoomScaleNormal="120" workbookViewId="0">
      <selection activeCell="C70" sqref="C70:O70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437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18</v>
      </c>
      <c r="E3" s="38"/>
      <c r="F3" s="38"/>
      <c r="G3" s="37" t="s">
        <v>5</v>
      </c>
      <c r="H3" s="38"/>
      <c r="I3" s="38"/>
      <c r="J3" s="37" t="s">
        <v>5</v>
      </c>
      <c r="K3" s="38"/>
      <c r="L3" s="38"/>
      <c r="M3" s="37" t="s">
        <v>6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9</v>
      </c>
      <c r="E4" s="38"/>
      <c r="F4" s="38"/>
      <c r="G4" s="38" t="s">
        <v>8</v>
      </c>
      <c r="H4" s="38"/>
      <c r="I4" s="38"/>
      <c r="J4" s="38" t="s">
        <v>9</v>
      </c>
      <c r="K4" s="38"/>
      <c r="L4" s="38"/>
      <c r="M4" s="38" t="s">
        <v>27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14</v>
      </c>
      <c r="E5" s="38"/>
      <c r="F5" s="38"/>
      <c r="G5" s="38" t="s">
        <v>93</v>
      </c>
      <c r="H5" s="38"/>
      <c r="I5" s="38"/>
      <c r="J5" s="38" t="s">
        <v>14</v>
      </c>
      <c r="K5" s="38"/>
      <c r="L5" s="38"/>
      <c r="M5" s="38" t="s">
        <v>19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 t="s">
        <v>28</v>
      </c>
      <c r="E6" s="38"/>
      <c r="F6" s="38"/>
      <c r="G6" s="38"/>
      <c r="H6" s="38"/>
      <c r="I6" s="38"/>
      <c r="J6" s="38"/>
      <c r="K6" s="38"/>
      <c r="L6" s="38"/>
      <c r="M6" s="38" t="s">
        <v>28</v>
      </c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445002</v>
      </c>
      <c r="D10" s="48"/>
      <c r="E10" s="47">
        <v>445002</v>
      </c>
      <c r="F10" s="48"/>
      <c r="G10" s="47">
        <v>445002</v>
      </c>
      <c r="H10" s="49"/>
      <c r="I10" s="47">
        <v>445002</v>
      </c>
      <c r="J10" s="48"/>
      <c r="K10" s="47">
        <v>445002</v>
      </c>
      <c r="L10" s="48"/>
      <c r="M10" s="50">
        <f>IF(OR(K10=0,C10=0),"-",IF((K10-C10)&lt;0,"Erreur",(K10-C10)))</f>
        <v>0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228853</v>
      </c>
      <c r="D11" s="63"/>
      <c r="E11" s="64"/>
      <c r="F11" s="64"/>
      <c r="G11" s="65"/>
      <c r="H11" s="66"/>
      <c r="I11" s="64"/>
      <c r="J11" s="64"/>
      <c r="K11" s="62">
        <v>228853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71988</v>
      </c>
      <c r="D12" s="63"/>
      <c r="E12" s="64"/>
      <c r="F12" s="64"/>
      <c r="G12" s="65"/>
      <c r="H12" s="66"/>
      <c r="I12" s="64"/>
      <c r="J12" s="64"/>
      <c r="K12" s="62">
        <v>71988</v>
      </c>
      <c r="L12" s="63"/>
      <c r="M12" s="57">
        <f>IF(OR(K12=0,C12=0),"-",IF((K12-C12)&lt;0,"Erreur",(K12-C12)))</f>
        <v>0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39166213</v>
      </c>
      <c r="D13" s="85"/>
      <c r="E13" s="84">
        <v>39168045</v>
      </c>
      <c r="F13" s="85"/>
      <c r="G13" s="84">
        <v>39169661</v>
      </c>
      <c r="H13" s="85"/>
      <c r="I13" s="84">
        <v>39170635</v>
      </c>
      <c r="J13" s="85"/>
      <c r="K13" s="84">
        <v>39171050</v>
      </c>
      <c r="L13" s="85"/>
      <c r="M13" s="57">
        <f>IF(OR(K13=0,C13=0),"-",IF((K13-C13)&lt;0,"Erreur",(K13-C13)))</f>
        <v>4837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/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/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0</v>
      </c>
      <c r="B17" s="94"/>
      <c r="C17" s="93">
        <f>IF(OR(I10=0,G10=0),"-",IF((I10-G10)&lt;0,"Erreur",(I10-G10)))</f>
        <v>0</v>
      </c>
      <c r="D17" s="94"/>
      <c r="E17" s="95">
        <f>IF(OR(I10=0,K10=0,C10=0,E10=0),"-",IF(((K10-I10)+(E10-C10))&lt;0,"Erreur",((K10-I10)+(E10-C10))))</f>
        <v>0</v>
      </c>
      <c r="F17" s="96"/>
      <c r="G17" s="97">
        <f>SUM(A17:F17)</f>
        <v>0</v>
      </c>
      <c r="H17" s="98"/>
      <c r="I17" s="3"/>
      <c r="J17" s="99" t="s">
        <v>44</v>
      </c>
      <c r="K17" s="100"/>
      <c r="L17" s="101"/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0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/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>
        <f>L17</f>
        <v>0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0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/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/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0</v>
      </c>
    </row>
    <row r="24" spans="1:23" ht="22.5" customHeight="1" thickBot="1">
      <c r="A24" s="120" t="s">
        <v>55</v>
      </c>
      <c r="B24" s="121"/>
      <c r="C24" s="121"/>
      <c r="D24" s="122" t="str">
        <f>IF(OR(D22=0,D23=0),"-",IF((D23-D22)&lt;0,"Erreur",(D23-D22)))</f>
        <v>-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 t="str">
        <f>IF(SUM(D24:O24)=0,"-",SUM(D24:O24))</f>
        <v>-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0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 t="e">
        <f>L25/1000</f>
        <v>#VALUE!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 t="e">
        <f>IF(AND(W25=0, W26="-"), "-",W25-(W26))</f>
        <v>#VALUE!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4.8369999999999997</v>
      </c>
    </row>
    <row r="29" spans="1:23" ht="28.35" customHeight="1" thickTop="1" thickBot="1">
      <c r="B29" s="131" t="s">
        <v>63</v>
      </c>
      <c r="C29" s="132"/>
      <c r="D29" s="133">
        <v>746752411.79999995</v>
      </c>
      <c r="E29" s="133"/>
      <c r="F29" s="133"/>
      <c r="G29" s="133"/>
      <c r="H29" s="133">
        <v>746752411.79999995</v>
      </c>
      <c r="I29" s="133"/>
      <c r="J29" s="133"/>
      <c r="K29" s="133"/>
      <c r="L29" s="134">
        <f>IF(OR(H29=0,D29=0),"-",IF((H29-D29)&lt;0,"Erreur",(H29-D29)))</f>
        <v>0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2339</v>
      </c>
      <c r="E33" s="159"/>
      <c r="F33" s="159"/>
      <c r="G33" s="159"/>
      <c r="H33" s="159">
        <v>2339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2266</v>
      </c>
      <c r="E35" s="159"/>
      <c r="F35" s="159"/>
      <c r="G35" s="159"/>
      <c r="H35" s="159">
        <v>2266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28075.1</v>
      </c>
      <c r="E39" s="167"/>
      <c r="F39" s="167"/>
      <c r="G39" s="168"/>
      <c r="H39" s="166">
        <v>28075.1</v>
      </c>
      <c r="I39" s="167"/>
      <c r="J39" s="167"/>
      <c r="K39" s="168"/>
      <c r="L39" s="134">
        <f>IF(OR(H39=0,D39=0),"-",IF((H39-D39)&lt;0,"Erreur",(H39-D39)))</f>
        <v>0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60">
        <v>361.9</v>
      </c>
      <c r="E40" s="161"/>
      <c r="F40" s="161"/>
      <c r="G40" s="162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60">
        <v>28043.200000000001</v>
      </c>
      <c r="E41" s="161"/>
      <c r="F41" s="161"/>
      <c r="G41" s="162"/>
      <c r="H41" s="159">
        <v>28043.200000000001</v>
      </c>
      <c r="I41" s="159"/>
      <c r="J41" s="159"/>
      <c r="K41" s="159"/>
      <c r="L41" s="134">
        <f>IF(OR(H41=0,D41=0),"-",IF((H41-D41)&lt;0,"Erreur",(H41-D41)))</f>
        <v>0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51">
        <v>36.5</v>
      </c>
      <c r="E42" s="152"/>
      <c r="F42" s="152"/>
      <c r="G42" s="153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72" t="s">
        <v>300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4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438</v>
      </c>
      <c r="B46" s="188"/>
      <c r="C46" s="180" t="s">
        <v>439</v>
      </c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7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 t="s">
        <v>440</v>
      </c>
      <c r="B47" s="267"/>
      <c r="C47" s="189" t="s">
        <v>441</v>
      </c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1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 t="s">
        <v>442</v>
      </c>
      <c r="B48" s="181"/>
      <c r="C48" s="180" t="s">
        <v>443</v>
      </c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7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 t="s">
        <v>378</v>
      </c>
      <c r="B49" s="179"/>
      <c r="C49" s="172" t="s">
        <v>446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4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 t="s">
        <v>448</v>
      </c>
      <c r="B50" s="183"/>
      <c r="C50" s="172" t="s">
        <v>447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2"/>
      <c r="B51" s="183"/>
      <c r="C51" s="271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3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/>
      <c r="B52" s="181"/>
      <c r="C52" s="271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5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271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5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271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3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/>
      <c r="B55" s="176"/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/>
      <c r="B56" s="176"/>
      <c r="C56" s="271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3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0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7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/>
      <c r="B58" s="176"/>
      <c r="C58" s="189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1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/>
      <c r="B59" s="176"/>
      <c r="C59" s="180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7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/>
      <c r="B60" s="181"/>
      <c r="C60" s="189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/>
      <c r="B61" s="176"/>
      <c r="C61" s="18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/>
      <c r="B62" s="176"/>
      <c r="C62" s="172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>
        <v>266968</v>
      </c>
      <c r="B69" s="219"/>
      <c r="C69" s="220" t="s">
        <v>444</v>
      </c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>
        <v>266977</v>
      </c>
      <c r="B70" s="212"/>
      <c r="C70" s="213" t="s">
        <v>445</v>
      </c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/>
      <c r="B82" s="231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:B51" name="Plage2_4_2_1"/>
    <protectedRange password="EC6D" sqref="B52" name="Plage2_4_2_3"/>
    <protectedRange password="EC6D" sqref="B53:B54" name="Plage2_4_2_4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S50" name="Plage2_2_2_2_1_2_1_1"/>
    <protectedRange password="EC6D" sqref="B55" name="Plage2_4_2_4_1"/>
    <protectedRange password="EC6D" sqref="B56" name="Plage2_4_2_6_1"/>
    <protectedRange password="EC6D" sqref="B57" name="Plage2_4_2_7_1"/>
    <protectedRange password="EC6D" sqref="L57:N57 C57" name="Plage2_5_1_1"/>
    <protectedRange password="EC6D" sqref="C56" name="Plage2_2_1_1_1_1_1_1_1_1_1_1"/>
    <protectedRange password="EC6D" sqref="L48:N48 C48 L59:N59 C59 L61:N61 C61" name="Plage2_6_1_1_3_2"/>
    <protectedRange password="EC6D" sqref="C47 C60" name="Plage2_2_2_1_2_1_2_2_1"/>
    <protectedRange password="EC6D" sqref="C49:C50 C62 C45" name="Plage2_2_1"/>
    <protectedRange password="EC6D" sqref="C51" name="Plage2_2_2_2_1_2_1_2_1_1_1"/>
    <protectedRange password="EC6D" sqref="C52" name="Plage2_2_2_2_1_2_1_2_2_1_1"/>
    <protectedRange password="EC6D" sqref="C53" name="Plage2_2_2_2_1_2_1_2_2_2_1"/>
    <protectedRange password="EC6D" sqref="C54" name="Plage2_2_1_1_1_1_1_1_1_1_1_1_1"/>
    <protectedRange password="EC6D" sqref="C55" name="Plage2_2_1_1_1_1_1_1_1_1_1_1_2"/>
    <protectedRange password="EC6D" sqref="C58" name="Plage2_2_2_1_2_1_2_1_2_1_1_1"/>
    <protectedRange password="EC6D" sqref="L46:N46 C46" name="Plage2_6_1_1_3_2_1"/>
  </protectedRanges>
  <mergeCells count="378"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83" priority="18" operator="containsText" text="Erreur">
      <formula>NOT(ISERROR(SEARCH("Erreur",A17)))</formula>
    </cfRule>
    <cfRule type="containsText" dxfId="82" priority="19" operator="containsText" text="Erreur">
      <formula>NOT(ISERROR(SEARCH("Erreur",A17)))</formula>
    </cfRule>
    <cfRule type="containsText" dxfId="81" priority="20" operator="containsText" text="Erreur">
      <formula>NOT(ISERROR(SEARCH("Erreur",A17)))</formula>
    </cfRule>
    <cfRule type="cellIs" dxfId="80" priority="21" operator="lessThan">
      <formula>0</formula>
    </cfRule>
  </conditionalFormatting>
  <conditionalFormatting sqref="R11">
    <cfRule type="containsText" dxfId="79" priority="17" operator="containsText" text="Erreur">
      <formula>NOT(ISERROR(SEARCH("Erreur",R11)))</formula>
    </cfRule>
  </conditionalFormatting>
  <conditionalFormatting sqref="H24:L24">
    <cfRule type="containsText" dxfId="78" priority="16" operator="containsText" text="Erreur">
      <formula>NOT(ISERROR(SEARCH("Erreur",H24)))</formula>
    </cfRule>
  </conditionalFormatting>
  <conditionalFormatting sqref="L29:N30 L32:N36">
    <cfRule type="cellIs" dxfId="77" priority="15" operator="equal">
      <formula>"Erreur"</formula>
    </cfRule>
  </conditionalFormatting>
  <conditionalFormatting sqref="M10 M11:O13">
    <cfRule type="cellIs" dxfId="76" priority="13" operator="equal">
      <formula>"-"</formula>
    </cfRule>
    <cfRule type="cellIs" dxfId="75" priority="14" operator="equal">
      <formula>"Erreur"</formula>
    </cfRule>
  </conditionalFormatting>
  <conditionalFormatting sqref="A17:D17 L25:O25 G17:H17 L29:N30 L32:N36">
    <cfRule type="cellIs" dxfId="74" priority="12" operator="equal">
      <formula>"-"</formula>
    </cfRule>
  </conditionalFormatting>
  <conditionalFormatting sqref="E17:F17">
    <cfRule type="cellIs" dxfId="73" priority="7" operator="equal">
      <formula>"-"</formula>
    </cfRule>
    <cfRule type="containsText" dxfId="72" priority="8" operator="containsText" text="Erreur">
      <formula>NOT(ISERROR(SEARCH("Erreur",E17)))</formula>
    </cfRule>
    <cfRule type="containsText" dxfId="71" priority="9" operator="containsText" text="Erreur">
      <formula>NOT(ISERROR(SEARCH("Erreur",E17)))</formula>
    </cfRule>
    <cfRule type="containsText" dxfId="70" priority="10" operator="containsText" text="Erreur">
      <formula>NOT(ISERROR(SEARCH("Erreur",E17)))</formula>
    </cfRule>
    <cfRule type="cellIs" dxfId="69" priority="11" operator="lessThan">
      <formula>0</formula>
    </cfRule>
  </conditionalFormatting>
  <conditionalFormatting sqref="D24:O24">
    <cfRule type="cellIs" dxfId="68" priority="5" operator="equal">
      <formula>"-"</formula>
    </cfRule>
    <cfRule type="containsText" dxfId="67" priority="6" operator="containsText" text="Erreur">
      <formula>NOT(ISERROR(SEARCH("Erreur",D24)))</formula>
    </cfRule>
  </conditionalFormatting>
  <conditionalFormatting sqref="L39:N42">
    <cfRule type="cellIs" dxfId="66" priority="3" operator="equal">
      <formula>"Erreur"</formula>
    </cfRule>
    <cfRule type="cellIs" dxfId="65" priority="4" operator="equal">
      <formula>"-"</formula>
    </cfRule>
  </conditionalFormatting>
  <conditionalFormatting sqref="D24:G24">
    <cfRule type="cellIs" dxfId="64" priority="1" operator="equal">
      <formula>"-"</formula>
    </cfRule>
    <cfRule type="containsText" dxfId="63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E205"/>
  <sheetViews>
    <sheetView topLeftCell="A40" zoomScale="120" zoomScaleNormal="120" workbookViewId="0">
      <selection activeCell="C58" sqref="C58:O58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449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6</v>
      </c>
      <c r="E3" s="38"/>
      <c r="F3" s="38"/>
      <c r="G3" s="37" t="s">
        <v>5</v>
      </c>
      <c r="H3" s="38"/>
      <c r="I3" s="38"/>
      <c r="J3" s="37" t="s">
        <v>6</v>
      </c>
      <c r="K3" s="38"/>
      <c r="L3" s="38"/>
      <c r="M3" s="37" t="s">
        <v>5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27</v>
      </c>
      <c r="E4" s="38"/>
      <c r="F4" s="38"/>
      <c r="G4" s="38" t="s">
        <v>9</v>
      </c>
      <c r="H4" s="38"/>
      <c r="I4" s="38"/>
      <c r="J4" s="38" t="s">
        <v>8</v>
      </c>
      <c r="K4" s="38"/>
      <c r="L4" s="38"/>
      <c r="M4" s="38" t="s">
        <v>8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19</v>
      </c>
      <c r="E5" s="38"/>
      <c r="F5" s="38"/>
      <c r="G5" s="38" t="s">
        <v>14</v>
      </c>
      <c r="H5" s="38"/>
      <c r="I5" s="38"/>
      <c r="J5" s="38" t="s">
        <v>93</v>
      </c>
      <c r="K5" s="38"/>
      <c r="L5" s="38"/>
      <c r="M5" s="38" t="s">
        <v>93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 t="s">
        <v>28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445002</v>
      </c>
      <c r="D10" s="48"/>
      <c r="E10" s="47">
        <v>445002</v>
      </c>
      <c r="F10" s="48"/>
      <c r="G10" s="47">
        <v>445002</v>
      </c>
      <c r="H10" s="49"/>
      <c r="I10" s="47">
        <v>445297</v>
      </c>
      <c r="J10" s="48"/>
      <c r="K10" s="47">
        <v>445347</v>
      </c>
      <c r="L10" s="48"/>
      <c r="M10" s="50">
        <f>IF(OR(K10=0,C10=0),"-",IF((K10-C10)&lt;0,"Erreur",(K10-C10)))</f>
        <v>345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228853</v>
      </c>
      <c r="D11" s="63"/>
      <c r="E11" s="64"/>
      <c r="F11" s="64"/>
      <c r="G11" s="65"/>
      <c r="H11" s="66"/>
      <c r="I11" s="64"/>
      <c r="J11" s="64"/>
      <c r="K11" s="62">
        <v>228853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71988</v>
      </c>
      <c r="D12" s="63"/>
      <c r="E12" s="64"/>
      <c r="F12" s="64"/>
      <c r="G12" s="65"/>
      <c r="H12" s="66"/>
      <c r="I12" s="64"/>
      <c r="J12" s="64"/>
      <c r="K12" s="62">
        <v>72088</v>
      </c>
      <c r="L12" s="63"/>
      <c r="M12" s="57">
        <f>IF(OR(K12=0,C12=0),"-",IF((K12-C12)&lt;0,"Erreur",(K12-C12)))</f>
        <v>100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39171050</v>
      </c>
      <c r="D13" s="85"/>
      <c r="E13" s="84">
        <v>39172580</v>
      </c>
      <c r="F13" s="85"/>
      <c r="G13" s="84">
        <v>39175609</v>
      </c>
      <c r="H13" s="85"/>
      <c r="I13" s="84">
        <v>39177425</v>
      </c>
      <c r="J13" s="85"/>
      <c r="K13" s="84">
        <v>39178178</v>
      </c>
      <c r="L13" s="85"/>
      <c r="M13" s="57">
        <f>IF(OR(K13=0,C13=0),"-",IF((K13-C13)&lt;0,"Erreur",(K13-C13)))</f>
        <v>7128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464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355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0</v>
      </c>
      <c r="B17" s="94"/>
      <c r="C17" s="93">
        <f>IF(OR(I10=0,G10=0),"-",IF((I10-G10)&lt;0,"Erreur",(I10-G10)))</f>
        <v>295</v>
      </c>
      <c r="D17" s="94"/>
      <c r="E17" s="95">
        <f>IF(OR(I10=0,K10=0,C10=0,E10=0),"-",IF(((K10-I10)+(E10-C10))&lt;0,"Erreur",((K10-I10)+(E10-C10))))</f>
        <v>50</v>
      </c>
      <c r="F17" s="96"/>
      <c r="G17" s="97">
        <f>SUM(A17:F17)</f>
        <v>345</v>
      </c>
      <c r="H17" s="98"/>
      <c r="I17" s="3"/>
      <c r="J17" s="99" t="s">
        <v>44</v>
      </c>
      <c r="K17" s="100"/>
      <c r="L17" s="101" t="s">
        <v>465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110MW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19h04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4.8000000000029104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1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39175901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39177756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111678.5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1855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1855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345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1.855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343.14499999999998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7.1280000000000001</v>
      </c>
    </row>
    <row r="29" spans="1:23" ht="28.35" customHeight="1" thickTop="1" thickBot="1">
      <c r="B29" s="131" t="s">
        <v>63</v>
      </c>
      <c r="C29" s="132"/>
      <c r="D29" s="133">
        <v>746752411.79999995</v>
      </c>
      <c r="E29" s="133"/>
      <c r="F29" s="133"/>
      <c r="G29" s="133"/>
      <c r="H29" s="133">
        <v>746864090.29999995</v>
      </c>
      <c r="I29" s="133"/>
      <c r="J29" s="133"/>
      <c r="K29" s="133"/>
      <c r="L29" s="134">
        <f>IF(OR(H29=0,D29=0),"-",IF((H29-D29)&lt;0,"Erreur",(H29-D29)))</f>
        <v>111678.5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2339</v>
      </c>
      <c r="E33" s="159"/>
      <c r="F33" s="159"/>
      <c r="G33" s="159"/>
      <c r="H33" s="159">
        <v>2340</v>
      </c>
      <c r="I33" s="159"/>
      <c r="J33" s="159"/>
      <c r="K33" s="159"/>
      <c r="L33" s="134">
        <f>IF(OR(H33=0,D33=0),"-",IF((H33-D33)&lt;0,"Erreur",(H33-D33)))</f>
        <v>1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2266</v>
      </c>
      <c r="E35" s="159"/>
      <c r="F35" s="159"/>
      <c r="G35" s="159"/>
      <c r="H35" s="159">
        <v>2267</v>
      </c>
      <c r="I35" s="159"/>
      <c r="J35" s="159"/>
      <c r="K35" s="159"/>
      <c r="L35" s="134">
        <f>IF(OR(H35=0,D35=0),"-",IF((H35-D35)&lt;0,"Erreur",(H35-D35)))</f>
        <v>1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>
        <v>1</v>
      </c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28075.1</v>
      </c>
      <c r="E39" s="167"/>
      <c r="F39" s="167"/>
      <c r="G39" s="168"/>
      <c r="H39" s="166">
        <v>28079.9</v>
      </c>
      <c r="I39" s="167"/>
      <c r="J39" s="167"/>
      <c r="K39" s="168"/>
      <c r="L39" s="134">
        <f>IF(OR(H39=0,D39=0),"-",IF((H39-D39)&lt;0,"Erreur",(H39-D39)))</f>
        <v>4.8000000000029104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60">
        <v>361.9</v>
      </c>
      <c r="E40" s="161"/>
      <c r="F40" s="161"/>
      <c r="G40" s="162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60">
        <v>28043.200000000001</v>
      </c>
      <c r="E41" s="161"/>
      <c r="F41" s="161"/>
      <c r="G41" s="162"/>
      <c r="H41" s="159">
        <v>28048</v>
      </c>
      <c r="I41" s="159"/>
      <c r="J41" s="159"/>
      <c r="K41" s="159"/>
      <c r="L41" s="134">
        <f>IF(OR(H41=0,D41=0),"-",IF((H41-D41)&lt;0,"Erreur",(H41-D41)))</f>
        <v>4.7999999999992724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51">
        <v>36.5</v>
      </c>
      <c r="E42" s="152"/>
      <c r="F42" s="152"/>
      <c r="G42" s="153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72" t="s">
        <v>300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4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451</v>
      </c>
      <c r="B46" s="188"/>
      <c r="C46" s="180" t="s">
        <v>392</v>
      </c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7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 t="s">
        <v>452</v>
      </c>
      <c r="B47" s="267"/>
      <c r="C47" s="271" t="s">
        <v>453</v>
      </c>
      <c r="D47" s="272"/>
      <c r="E47" s="272"/>
      <c r="F47" s="272"/>
      <c r="G47" s="272"/>
      <c r="H47" s="272"/>
      <c r="I47" s="272"/>
      <c r="J47" s="272"/>
      <c r="K47" s="272"/>
      <c r="L47" s="272"/>
      <c r="M47" s="272"/>
      <c r="N47" s="272"/>
      <c r="O47" s="273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 t="s">
        <v>454</v>
      </c>
      <c r="B48" s="181"/>
      <c r="C48" s="271" t="s">
        <v>458</v>
      </c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5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 t="s">
        <v>455</v>
      </c>
      <c r="B49" s="179"/>
      <c r="C49" s="271" t="s">
        <v>457</v>
      </c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5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 t="s">
        <v>456</v>
      </c>
      <c r="B50" s="183"/>
      <c r="C50" s="271" t="s">
        <v>400</v>
      </c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3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2" t="s">
        <v>456</v>
      </c>
      <c r="B51" s="183"/>
      <c r="C51" s="271" t="s">
        <v>399</v>
      </c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3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 t="s">
        <v>459</v>
      </c>
      <c r="B52" s="181"/>
      <c r="C52" s="271" t="s">
        <v>404</v>
      </c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5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 t="s">
        <v>460</v>
      </c>
      <c r="B53" s="176"/>
      <c r="C53" s="271" t="s">
        <v>461</v>
      </c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5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 t="s">
        <v>462</v>
      </c>
      <c r="B54" s="176"/>
      <c r="C54" s="271" t="s">
        <v>323</v>
      </c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3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 t="s">
        <v>463</v>
      </c>
      <c r="B55" s="176"/>
      <c r="C55" s="180" t="s">
        <v>325</v>
      </c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7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 t="s">
        <v>426</v>
      </c>
      <c r="B56" s="176"/>
      <c r="C56" s="189" t="s">
        <v>328</v>
      </c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1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 t="s">
        <v>347</v>
      </c>
      <c r="B57" s="176"/>
      <c r="C57" s="180" t="s">
        <v>331</v>
      </c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4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 t="s">
        <v>348</v>
      </c>
      <c r="B58" s="176"/>
      <c r="C58" s="172" t="s">
        <v>213</v>
      </c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4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/>
      <c r="B59" s="176"/>
      <c r="C59" s="180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7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/>
      <c r="B60" s="181"/>
      <c r="C60" s="189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/>
      <c r="B61" s="176"/>
      <c r="C61" s="18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/>
      <c r="B62" s="176"/>
      <c r="C62" s="172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/>
      <c r="B69" s="219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/>
      <c r="B70" s="212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/>
      <c r="B82" s="231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:B51" name="Plage2_4_2_1"/>
    <protectedRange password="EC6D" sqref="B52" name="Plage2_4_2_3"/>
    <protectedRange password="EC6D" sqref="B53:B54" name="Plage2_4_2_4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S50" name="Plage2_2_2_2_1_2_1_1"/>
    <protectedRange password="EC6D" sqref="B55" name="Plage2_4_2_4_1"/>
    <protectedRange password="EC6D" sqref="B56" name="Plage2_4_2_6_1"/>
    <protectedRange password="EC6D" sqref="B57" name="Plage2_4_2_7_1"/>
    <protectedRange password="EC6D" sqref="L59:N59 C59 L61:N61 C61" name="Plage2_6_1_1_3_2"/>
    <protectedRange password="EC6D" sqref="C60" name="Plage2_2_2_1_2_1_2_2_1"/>
    <protectedRange password="EC6D" sqref="C62 C45" name="Plage2_2_1"/>
    <protectedRange password="EC6D" sqref="C52" name="Plage2_2_2_2_1_2_1_2_2_1_1"/>
    <protectedRange password="EC6D" sqref="C53" name="Plage2_2_2_2_1_2_1_2_2_2_1"/>
    <protectedRange password="EC6D" sqref="C54" name="Plage2_2_1_1_1_1_1_1_1_1_1_1_1"/>
    <protectedRange password="EC6D" sqref="L46:N46 C46" name="Plage2_6_1_1_3_2_1"/>
    <protectedRange password="EC6D" sqref="C47" name="Plage2_2_2_2_1_2_1_2_1_1_1_1"/>
    <protectedRange password="EC6D" sqref="C48" name="Plage2_2_2_2_1_2_1_2_2_1_1_1"/>
    <protectedRange password="EC6D" sqref="C49" name="Plage2_2_2_2_1_2_1_2_2_2_1_1"/>
    <protectedRange password="EC6D" sqref="C50" name="Plage2_2_1_1_1_1_1_1_1_1_1_1_1_1"/>
    <protectedRange password="EC6D" sqref="C51" name="Plage2_2_1_1_1_1_1_1_1_1_1_1_2_1"/>
    <protectedRange password="EC6D" sqref="L55:N55 C55" name="Plage2_6_1_1_3"/>
    <protectedRange password="EC6D" sqref="C56" name="Plage2_2_2_1_2_1_2_2"/>
    <protectedRange password="EC6D" sqref="L57:N57 C57" name="Plage2_4_1_1"/>
    <protectedRange password="EC6D" sqref="C58" name="Plage2_2_2"/>
  </protectedRanges>
  <mergeCells count="378"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62" priority="18" operator="containsText" text="Erreur">
      <formula>NOT(ISERROR(SEARCH("Erreur",A17)))</formula>
    </cfRule>
    <cfRule type="containsText" dxfId="61" priority="19" operator="containsText" text="Erreur">
      <formula>NOT(ISERROR(SEARCH("Erreur",A17)))</formula>
    </cfRule>
    <cfRule type="containsText" dxfId="60" priority="20" operator="containsText" text="Erreur">
      <formula>NOT(ISERROR(SEARCH("Erreur",A17)))</formula>
    </cfRule>
    <cfRule type="cellIs" dxfId="59" priority="21" operator="lessThan">
      <formula>0</formula>
    </cfRule>
  </conditionalFormatting>
  <conditionalFormatting sqref="R11">
    <cfRule type="containsText" dxfId="58" priority="17" operator="containsText" text="Erreur">
      <formula>NOT(ISERROR(SEARCH("Erreur",R11)))</formula>
    </cfRule>
  </conditionalFormatting>
  <conditionalFormatting sqref="H24:L24">
    <cfRule type="containsText" dxfId="57" priority="16" operator="containsText" text="Erreur">
      <formula>NOT(ISERROR(SEARCH("Erreur",H24)))</formula>
    </cfRule>
  </conditionalFormatting>
  <conditionalFormatting sqref="L29:N30 L32:N36">
    <cfRule type="cellIs" dxfId="56" priority="15" operator="equal">
      <formula>"Erreur"</formula>
    </cfRule>
  </conditionalFormatting>
  <conditionalFormatting sqref="M10 M11:O13">
    <cfRule type="cellIs" dxfId="55" priority="13" operator="equal">
      <formula>"-"</formula>
    </cfRule>
    <cfRule type="cellIs" dxfId="54" priority="14" operator="equal">
      <formula>"Erreur"</formula>
    </cfRule>
  </conditionalFormatting>
  <conditionalFormatting sqref="A17:D17 L25:O25 G17:H17 L29:N30 L32:N36">
    <cfRule type="cellIs" dxfId="53" priority="12" operator="equal">
      <formula>"-"</formula>
    </cfRule>
  </conditionalFormatting>
  <conditionalFormatting sqref="E17:F17">
    <cfRule type="cellIs" dxfId="52" priority="7" operator="equal">
      <formula>"-"</formula>
    </cfRule>
    <cfRule type="containsText" dxfId="51" priority="8" operator="containsText" text="Erreur">
      <formula>NOT(ISERROR(SEARCH("Erreur",E17)))</formula>
    </cfRule>
    <cfRule type="containsText" dxfId="50" priority="9" operator="containsText" text="Erreur">
      <formula>NOT(ISERROR(SEARCH("Erreur",E17)))</formula>
    </cfRule>
    <cfRule type="containsText" dxfId="49" priority="10" operator="containsText" text="Erreur">
      <formula>NOT(ISERROR(SEARCH("Erreur",E17)))</formula>
    </cfRule>
    <cfRule type="cellIs" dxfId="48" priority="11" operator="lessThan">
      <formula>0</formula>
    </cfRule>
  </conditionalFormatting>
  <conditionalFormatting sqref="D24:O24">
    <cfRule type="cellIs" dxfId="47" priority="5" operator="equal">
      <formula>"-"</formula>
    </cfRule>
    <cfRule type="containsText" dxfId="46" priority="6" operator="containsText" text="Erreur">
      <formula>NOT(ISERROR(SEARCH("Erreur",D24)))</formula>
    </cfRule>
  </conditionalFormatting>
  <conditionalFormatting sqref="L39:N42">
    <cfRule type="cellIs" dxfId="45" priority="3" operator="equal">
      <formula>"Erreur"</formula>
    </cfRule>
    <cfRule type="cellIs" dxfId="44" priority="4" operator="equal">
      <formula>"-"</formula>
    </cfRule>
  </conditionalFormatting>
  <conditionalFormatting sqref="D24:G24">
    <cfRule type="cellIs" dxfId="43" priority="1" operator="equal">
      <formula>"-"</formula>
    </cfRule>
    <cfRule type="containsText" dxfId="42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E205"/>
  <sheetViews>
    <sheetView topLeftCell="A40" zoomScale="120" zoomScaleNormal="120" workbookViewId="0">
      <selection activeCell="K13" sqref="K13:L13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450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5</v>
      </c>
      <c r="E3" s="38"/>
      <c r="F3" s="38"/>
      <c r="G3" s="37" t="s">
        <v>6</v>
      </c>
      <c r="H3" s="38"/>
      <c r="I3" s="38"/>
      <c r="J3" s="37" t="s">
        <v>6</v>
      </c>
      <c r="K3" s="38"/>
      <c r="L3" s="38"/>
      <c r="M3" s="37" t="s">
        <v>5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8</v>
      </c>
      <c r="E4" s="38"/>
      <c r="F4" s="38"/>
      <c r="G4" s="38" t="s">
        <v>9</v>
      </c>
      <c r="H4" s="38"/>
      <c r="I4" s="38"/>
      <c r="J4" s="38" t="s">
        <v>9</v>
      </c>
      <c r="K4" s="38"/>
      <c r="L4" s="38"/>
      <c r="M4" s="38" t="s">
        <v>8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93</v>
      </c>
      <c r="E5" s="38"/>
      <c r="F5" s="38"/>
      <c r="G5" s="38" t="s">
        <v>14</v>
      </c>
      <c r="H5" s="38"/>
      <c r="I5" s="38"/>
      <c r="J5" s="38" t="s">
        <v>14</v>
      </c>
      <c r="K5" s="38"/>
      <c r="L5" s="38"/>
      <c r="M5" s="38" t="s">
        <v>93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445347</v>
      </c>
      <c r="D10" s="48"/>
      <c r="E10" s="47">
        <v>445347</v>
      </c>
      <c r="F10" s="48"/>
      <c r="G10" s="47">
        <v>445347</v>
      </c>
      <c r="H10" s="49"/>
      <c r="I10" s="47">
        <v>445433</v>
      </c>
      <c r="J10" s="48"/>
      <c r="K10" s="47">
        <v>445433</v>
      </c>
      <c r="L10" s="48"/>
      <c r="M10" s="50">
        <f>IF(OR(K10=0,C10=0),"-",IF((K10-C10)&lt;0,"Erreur",(K10-C10)))</f>
        <v>86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228853</v>
      </c>
      <c r="D11" s="63"/>
      <c r="E11" s="64"/>
      <c r="F11" s="64"/>
      <c r="G11" s="65"/>
      <c r="H11" s="66"/>
      <c r="I11" s="64"/>
      <c r="J11" s="64"/>
      <c r="K11" s="62">
        <v>228853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72088</v>
      </c>
      <c r="D12" s="63"/>
      <c r="E12" s="64"/>
      <c r="F12" s="64"/>
      <c r="G12" s="65"/>
      <c r="H12" s="66"/>
      <c r="I12" s="64"/>
      <c r="J12" s="64"/>
      <c r="K12" s="62">
        <v>72124</v>
      </c>
      <c r="L12" s="63"/>
      <c r="M12" s="57">
        <f>IF(OR(K12=0,C12=0),"-",IF((K12-C12)&lt;0,"Erreur",(K12-C12)))</f>
        <v>36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39178178</v>
      </c>
      <c r="D13" s="85"/>
      <c r="E13" s="84">
        <v>39180165</v>
      </c>
      <c r="F13" s="85"/>
      <c r="G13" s="84">
        <v>39182996</v>
      </c>
      <c r="H13" s="85"/>
      <c r="I13" s="84">
        <v>39184620</v>
      </c>
      <c r="J13" s="85"/>
      <c r="K13" s="84">
        <v>39185245</v>
      </c>
      <c r="L13" s="85"/>
      <c r="M13" s="57">
        <f>IF(OR(K13=0,C13=0),"-",IF((K13-C13)&lt;0,"Erreur",(K13-C13)))</f>
        <v>7067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 t="s">
        <v>474</v>
      </c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 t="s">
        <v>319</v>
      </c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0</v>
      </c>
      <c r="B17" s="94"/>
      <c r="C17" s="93">
        <f>IF(OR(I10=0,G10=0),"-",IF((I10-G10)&lt;0,"Erreur",(I10-G10)))</f>
        <v>86</v>
      </c>
      <c r="D17" s="94"/>
      <c r="E17" s="95">
        <f>IF(OR(I10=0,K10=0,C10=0,E10=0),"-",IF(((K10-I10)+(E10-C10))&lt;0,"Erreur",((K10-I10)+(E10-C10))))</f>
        <v>0</v>
      </c>
      <c r="F17" s="96"/>
      <c r="G17" s="97">
        <f>SUM(A17:F17)</f>
        <v>86</v>
      </c>
      <c r="H17" s="98"/>
      <c r="I17" s="3"/>
      <c r="J17" s="99" t="s">
        <v>44</v>
      </c>
      <c r="K17" s="100"/>
      <c r="L17" s="101" t="s">
        <v>475</v>
      </c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 t="str">
        <f>L15</f>
        <v>83MW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 t="s">
        <v>32</v>
      </c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 t="str">
        <f>L17</f>
        <v>18h58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2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1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>
        <v>39183357</v>
      </c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>
        <v>39184054</v>
      </c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33058.400000095367</v>
      </c>
    </row>
    <row r="24" spans="1:23" ht="22.5" customHeight="1" thickBot="1">
      <c r="A24" s="120" t="s">
        <v>55</v>
      </c>
      <c r="B24" s="121"/>
      <c r="C24" s="121"/>
      <c r="D24" s="122">
        <f>IF(OR(D22=0,D23=0),"-",IF((D23-D22)&lt;0,"Erreur",(D23-D22)))</f>
        <v>697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>
        <f>IF(SUM(D24:O24)=0,"-",SUM(D24:O24))</f>
        <v>697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86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>
        <f>L25/1000</f>
        <v>0.69699999999999995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>
        <f>IF(AND(W25=0, W26="-"), "-",W25-(W26))</f>
        <v>85.302999999999997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7.0670000000000002</v>
      </c>
    </row>
    <row r="29" spans="1:23" ht="28.35" customHeight="1" thickTop="1" thickBot="1">
      <c r="B29" s="131" t="s">
        <v>63</v>
      </c>
      <c r="C29" s="132"/>
      <c r="D29" s="133">
        <v>746864090.29999995</v>
      </c>
      <c r="E29" s="133"/>
      <c r="F29" s="133"/>
      <c r="G29" s="133"/>
      <c r="H29" s="133">
        <v>746897148.70000005</v>
      </c>
      <c r="I29" s="133"/>
      <c r="J29" s="133"/>
      <c r="K29" s="133"/>
      <c r="L29" s="134">
        <f>IF(OR(H29=0,D29=0),"-",IF((H29-D29)&lt;0,"Erreur",(H29-D29)))</f>
        <v>33058.400000095367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2340</v>
      </c>
      <c r="E33" s="159"/>
      <c r="F33" s="159"/>
      <c r="G33" s="159"/>
      <c r="H33" s="159">
        <v>2341</v>
      </c>
      <c r="I33" s="159"/>
      <c r="J33" s="159"/>
      <c r="K33" s="159"/>
      <c r="L33" s="134">
        <f>IF(OR(H33=0,D33=0),"-",IF((H33-D33)&lt;0,"Erreur",(H33-D33)))</f>
        <v>1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2267</v>
      </c>
      <c r="E35" s="159"/>
      <c r="F35" s="159"/>
      <c r="G35" s="159"/>
      <c r="H35" s="159">
        <v>2268</v>
      </c>
      <c r="I35" s="159"/>
      <c r="J35" s="159"/>
      <c r="K35" s="159"/>
      <c r="L35" s="134">
        <f>IF(OR(H35=0,D35=0),"-",IF((H35-D35)&lt;0,"Erreur",(H35-D35)))</f>
        <v>1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>
        <v>1</v>
      </c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28079.9</v>
      </c>
      <c r="E39" s="167"/>
      <c r="F39" s="167"/>
      <c r="G39" s="168"/>
      <c r="H39" s="166">
        <v>28081.9</v>
      </c>
      <c r="I39" s="167"/>
      <c r="J39" s="167"/>
      <c r="K39" s="168"/>
      <c r="L39" s="134">
        <f>IF(OR(H39=0,D39=0),"-",IF((H39-D39)&lt;0,"Erreur",(H39-D39)))</f>
        <v>2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60">
        <v>361.9</v>
      </c>
      <c r="E40" s="161"/>
      <c r="F40" s="161"/>
      <c r="G40" s="162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60">
        <v>28048</v>
      </c>
      <c r="E41" s="161"/>
      <c r="F41" s="161"/>
      <c r="G41" s="162"/>
      <c r="H41" s="159">
        <v>28050</v>
      </c>
      <c r="I41" s="159"/>
      <c r="J41" s="159"/>
      <c r="K41" s="159"/>
      <c r="L41" s="134">
        <f>IF(OR(H41=0,D41=0),"-",IF((H41-D41)&lt;0,"Erreur",(H41-D41)))</f>
        <v>2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51">
        <v>36.5</v>
      </c>
      <c r="E42" s="152"/>
      <c r="F42" s="152"/>
      <c r="G42" s="153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72" t="s">
        <v>300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4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 t="s">
        <v>466</v>
      </c>
      <c r="B46" s="188"/>
      <c r="C46" s="180" t="s">
        <v>392</v>
      </c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7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 t="s">
        <v>467</v>
      </c>
      <c r="B47" s="267"/>
      <c r="C47" s="271" t="s">
        <v>453</v>
      </c>
      <c r="D47" s="272"/>
      <c r="E47" s="272"/>
      <c r="F47" s="272"/>
      <c r="G47" s="272"/>
      <c r="H47" s="272"/>
      <c r="I47" s="272"/>
      <c r="J47" s="272"/>
      <c r="K47" s="272"/>
      <c r="L47" s="272"/>
      <c r="M47" s="272"/>
      <c r="N47" s="272"/>
      <c r="O47" s="273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 t="s">
        <v>469</v>
      </c>
      <c r="B48" s="181"/>
      <c r="C48" s="271" t="s">
        <v>470</v>
      </c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5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 t="s">
        <v>166</v>
      </c>
      <c r="B49" s="179"/>
      <c r="C49" s="271" t="s">
        <v>457</v>
      </c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5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 t="s">
        <v>471</v>
      </c>
      <c r="B50" s="183"/>
      <c r="C50" s="271" t="s">
        <v>400</v>
      </c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3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2" t="s">
        <v>471</v>
      </c>
      <c r="B51" s="183"/>
      <c r="C51" s="271" t="s">
        <v>399</v>
      </c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3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 t="s">
        <v>416</v>
      </c>
      <c r="B52" s="181"/>
      <c r="C52" s="271" t="s">
        <v>404</v>
      </c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5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 t="s">
        <v>472</v>
      </c>
      <c r="B53" s="176"/>
      <c r="C53" s="271" t="s">
        <v>461</v>
      </c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5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 t="s">
        <v>473</v>
      </c>
      <c r="B54" s="176"/>
      <c r="C54" s="271" t="s">
        <v>323</v>
      </c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3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 t="s">
        <v>476</v>
      </c>
      <c r="B55" s="176"/>
      <c r="C55" s="180" t="s">
        <v>325</v>
      </c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7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 t="s">
        <v>477</v>
      </c>
      <c r="B56" s="176"/>
      <c r="C56" s="189" t="s">
        <v>328</v>
      </c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1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 t="s">
        <v>478</v>
      </c>
      <c r="B57" s="176"/>
      <c r="C57" s="180" t="s">
        <v>331</v>
      </c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4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 t="s">
        <v>479</v>
      </c>
      <c r="B58" s="176"/>
      <c r="C58" s="172" t="s">
        <v>213</v>
      </c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4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/>
      <c r="B59" s="176"/>
      <c r="C59" s="180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7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/>
      <c r="B60" s="181"/>
      <c r="C60" s="189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/>
      <c r="B61" s="176"/>
      <c r="C61" s="18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/>
      <c r="B62" s="176"/>
      <c r="C62" s="172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/>
      <c r="B69" s="219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/>
      <c r="B70" s="212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/>
      <c r="B82" s="231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:B51" name="Plage2_4_2_1"/>
    <protectedRange password="EC6D" sqref="B52" name="Plage2_4_2_3"/>
    <protectedRange password="EC6D" sqref="B53:B54" name="Plage2_4_2_4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S50" name="Plage2_2_2_2_1_2_1_1"/>
    <protectedRange password="EC6D" sqref="B55" name="Plage2_4_2_4_1"/>
    <protectedRange password="EC6D" sqref="B56" name="Plage2_4_2_6_1"/>
    <protectedRange password="EC6D" sqref="B57" name="Plage2_4_2_7_1"/>
    <protectedRange password="EC6D" sqref="L59:N59 C59 L61:N61 C61" name="Plage2_6_1_1_3_2"/>
    <protectedRange password="EC6D" sqref="C60" name="Plage2_2_2_1_2_1_2_2_1"/>
    <protectedRange password="EC6D" sqref="C62 C45" name="Plage2_2_1"/>
    <protectedRange password="EC6D" sqref="L46:N46 C46" name="Plage2_6_1_1_3_2_1_1"/>
    <protectedRange password="EC6D" sqref="C47" name="Plage2_2_2_2_1_2_1_2_1_1_1_1"/>
    <protectedRange password="EC6D" sqref="C48" name="Plage2_2_2_2_1_2_1_2_2_1_1_1"/>
    <protectedRange password="EC6D" sqref="C49" name="Plage2_2_2_2_1_2_1_2_2_2_1_1"/>
    <protectedRange password="EC6D" sqref="C50" name="Plage2_2_1_1_1_1_1_1_1_1_1_1_1_1"/>
    <protectedRange password="EC6D" sqref="C51" name="Plage2_2_1_1_1_1_1_1_1_1_1_1_2_1"/>
    <protectedRange password="EC6D" sqref="C52" name="Plage2_2_2_2_1_2_1_2_2_1_1_2"/>
    <protectedRange password="EC6D" sqref="C53" name="Plage2_2_2_2_1_2_1_2_2_2_1_2"/>
    <protectedRange password="EC6D" sqref="C54" name="Plage2_2_1_1_1_1_1_1_1_1_1_1_1_2"/>
    <protectedRange password="EC6D" sqref="L55:N55 C55" name="Plage2_6_1_1_3"/>
    <protectedRange password="EC6D" sqref="C56" name="Plage2_2_2_1_2_1_2_2"/>
    <protectedRange password="EC6D" sqref="L57:N57 C57" name="Plage2_4_1_1"/>
    <protectedRange password="EC6D" sqref="C58" name="Plage2_2_2"/>
  </protectedRanges>
  <mergeCells count="378"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41" priority="18" operator="containsText" text="Erreur">
      <formula>NOT(ISERROR(SEARCH("Erreur",A17)))</formula>
    </cfRule>
    <cfRule type="containsText" dxfId="40" priority="19" operator="containsText" text="Erreur">
      <formula>NOT(ISERROR(SEARCH("Erreur",A17)))</formula>
    </cfRule>
    <cfRule type="containsText" dxfId="39" priority="20" operator="containsText" text="Erreur">
      <formula>NOT(ISERROR(SEARCH("Erreur",A17)))</formula>
    </cfRule>
    <cfRule type="cellIs" dxfId="38" priority="21" operator="lessThan">
      <formula>0</formula>
    </cfRule>
  </conditionalFormatting>
  <conditionalFormatting sqref="R11">
    <cfRule type="containsText" dxfId="37" priority="17" operator="containsText" text="Erreur">
      <formula>NOT(ISERROR(SEARCH("Erreur",R11)))</formula>
    </cfRule>
  </conditionalFormatting>
  <conditionalFormatting sqref="H24:L24">
    <cfRule type="containsText" dxfId="36" priority="16" operator="containsText" text="Erreur">
      <formula>NOT(ISERROR(SEARCH("Erreur",H24)))</formula>
    </cfRule>
  </conditionalFormatting>
  <conditionalFormatting sqref="L29:N30 L32:N36">
    <cfRule type="cellIs" dxfId="35" priority="15" operator="equal">
      <formula>"Erreur"</formula>
    </cfRule>
  </conditionalFormatting>
  <conditionalFormatting sqref="M10 M11:O13">
    <cfRule type="cellIs" dxfId="34" priority="13" operator="equal">
      <formula>"-"</formula>
    </cfRule>
    <cfRule type="cellIs" dxfId="33" priority="14" operator="equal">
      <formula>"Erreur"</formula>
    </cfRule>
  </conditionalFormatting>
  <conditionalFormatting sqref="A17:D17 L25:O25 G17:H17 L29:N30 L32:N36">
    <cfRule type="cellIs" dxfId="32" priority="12" operator="equal">
      <formula>"-"</formula>
    </cfRule>
  </conditionalFormatting>
  <conditionalFormatting sqref="E17:F17">
    <cfRule type="cellIs" dxfId="31" priority="7" operator="equal">
      <formula>"-"</formula>
    </cfRule>
    <cfRule type="containsText" dxfId="30" priority="8" operator="containsText" text="Erreur">
      <formula>NOT(ISERROR(SEARCH("Erreur",E17)))</formula>
    </cfRule>
    <cfRule type="containsText" dxfId="29" priority="9" operator="containsText" text="Erreur">
      <formula>NOT(ISERROR(SEARCH("Erreur",E17)))</formula>
    </cfRule>
    <cfRule type="containsText" dxfId="28" priority="10" operator="containsText" text="Erreur">
      <formula>NOT(ISERROR(SEARCH("Erreur",E17)))</formula>
    </cfRule>
    <cfRule type="cellIs" dxfId="27" priority="11" operator="lessThan">
      <formula>0</formula>
    </cfRule>
  </conditionalFormatting>
  <conditionalFormatting sqref="D24:O24">
    <cfRule type="cellIs" dxfId="26" priority="5" operator="equal">
      <formula>"-"</formula>
    </cfRule>
    <cfRule type="containsText" dxfId="25" priority="6" operator="containsText" text="Erreur">
      <formula>NOT(ISERROR(SEARCH("Erreur",D24)))</formula>
    </cfRule>
  </conditionalFormatting>
  <conditionalFormatting sqref="L39:N42">
    <cfRule type="cellIs" dxfId="24" priority="3" operator="equal">
      <formula>"Erreur"</formula>
    </cfRule>
    <cfRule type="cellIs" dxfId="23" priority="4" operator="equal">
      <formula>"-"</formula>
    </cfRule>
  </conditionalFormatting>
  <conditionalFormatting sqref="D24:G24">
    <cfRule type="cellIs" dxfId="22" priority="1" operator="equal">
      <formula>"-"</formula>
    </cfRule>
    <cfRule type="containsText" dxfId="21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5:O5">
      <formula1>$V$6:$V$9</formula1>
    </dataValidation>
    <dataValidation type="list" showInputMessage="1" showErrorMessage="1" sqref="N18">
      <formula1>liste1</formula1>
    </dataValidation>
    <dataValidation type="list" allowBlank="1" showInputMessage="1" showErrorMessage="1" sqref="L18:M18">
      <formula1>$S$9:$S$13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6:O6">
      <formula1>$W$6:$W$9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E205"/>
  <sheetViews>
    <sheetView tabSelected="1" zoomScale="120" zoomScaleNormal="120" workbookViewId="0">
      <selection activeCell="K13" sqref="K13:L13"/>
    </sheetView>
  </sheetViews>
  <sheetFormatPr baseColWidth="10" defaultRowHeight="15"/>
  <cols>
    <col min="1" max="1" width="7.7109375" customWidth="1"/>
    <col min="2" max="2" width="8.5703125" customWidth="1"/>
    <col min="3" max="3" width="8.140625" customWidth="1"/>
    <col min="4" max="4" width="7.28515625" customWidth="1"/>
    <col min="5" max="5" width="7.5703125" customWidth="1"/>
    <col min="6" max="7" width="8.42578125" customWidth="1"/>
    <col min="8" max="8" width="7" customWidth="1"/>
    <col min="9" max="9" width="7.7109375" customWidth="1"/>
    <col min="10" max="10" width="7.28515625" customWidth="1"/>
    <col min="11" max="11" width="7.5703125" customWidth="1"/>
    <col min="12" max="12" width="8.85546875" customWidth="1"/>
    <col min="13" max="13" width="6.85546875" customWidth="1"/>
    <col min="14" max="14" width="7.5703125" customWidth="1"/>
    <col min="15" max="15" width="8.28515625" customWidth="1"/>
    <col min="16" max="16" width="6.7109375" customWidth="1"/>
    <col min="17" max="17" width="7.42578125" customWidth="1"/>
    <col min="18" max="18" width="9.7109375" customWidth="1"/>
    <col min="19" max="19" width="8.42578125" customWidth="1"/>
    <col min="20" max="20" width="7.42578125" customWidth="1"/>
    <col min="21" max="21" width="13.140625" customWidth="1"/>
    <col min="22" max="22" width="15.28515625" customWidth="1"/>
    <col min="23" max="23" width="12.28515625" customWidth="1"/>
    <col min="24" max="24" width="7.85546875" customWidth="1"/>
    <col min="25" max="25" width="7.42578125" customWidth="1"/>
    <col min="26" max="26" width="6.28515625" hidden="1" customWidth="1"/>
    <col min="27" max="28" width="7.42578125" customWidth="1"/>
    <col min="29" max="29" width="4" customWidth="1"/>
    <col min="30" max="30" width="8.28515625" customWidth="1"/>
    <col min="31" max="31" width="11.42578125" customWidth="1"/>
  </cols>
  <sheetData>
    <row r="1" spans="1:27" ht="54" customHeight="1" thickTop="1" thickBot="1">
      <c r="A1" s="32" t="s">
        <v>468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S1" s="20"/>
      <c r="T1" s="20"/>
      <c r="U1" s="20"/>
      <c r="V1" s="20"/>
      <c r="W1" s="20"/>
      <c r="X1" s="20"/>
      <c r="Y1" s="20"/>
      <c r="Z1" s="21">
        <v>45975</v>
      </c>
      <c r="AA1" s="20"/>
    </row>
    <row r="2" spans="1:27" ht="29.25" customHeight="1" thickTop="1" thickBot="1">
      <c r="A2" s="1"/>
      <c r="B2" s="1"/>
      <c r="C2" s="1"/>
      <c r="D2" s="35" t="s">
        <v>0</v>
      </c>
      <c r="E2" s="35"/>
      <c r="F2" s="35"/>
      <c r="G2" s="35" t="s">
        <v>1</v>
      </c>
      <c r="H2" s="35"/>
      <c r="I2" s="35"/>
      <c r="J2" s="35" t="s">
        <v>2</v>
      </c>
      <c r="K2" s="35"/>
      <c r="L2" s="35"/>
      <c r="M2" s="35" t="s">
        <v>3</v>
      </c>
      <c r="N2" s="35"/>
      <c r="O2" s="35"/>
      <c r="S2" s="20"/>
      <c r="T2" s="20"/>
      <c r="U2" s="20"/>
      <c r="V2" s="20"/>
      <c r="W2" s="20"/>
      <c r="X2" s="20"/>
      <c r="Y2" s="20"/>
      <c r="Z2" s="20"/>
      <c r="AA2" s="20"/>
    </row>
    <row r="3" spans="1:27" ht="17.25" thickTop="1" thickBot="1">
      <c r="A3" s="36" t="s">
        <v>4</v>
      </c>
      <c r="B3" s="36"/>
      <c r="C3" s="36"/>
      <c r="D3" s="37" t="s">
        <v>5</v>
      </c>
      <c r="E3" s="38"/>
      <c r="F3" s="38"/>
      <c r="G3" s="37" t="s">
        <v>6</v>
      </c>
      <c r="H3" s="38"/>
      <c r="I3" s="38"/>
      <c r="J3" s="37" t="s">
        <v>6</v>
      </c>
      <c r="K3" s="38"/>
      <c r="L3" s="38"/>
      <c r="M3" s="37" t="s">
        <v>18</v>
      </c>
      <c r="N3" s="38"/>
      <c r="O3" s="38"/>
      <c r="S3" s="20"/>
      <c r="T3" s="20"/>
      <c r="U3" s="20"/>
      <c r="V3" s="20"/>
      <c r="W3" s="20"/>
      <c r="X3" s="20"/>
      <c r="Y3" s="20"/>
      <c r="Z3" s="20"/>
      <c r="AA3" s="20"/>
    </row>
    <row r="4" spans="1:27" ht="17.25" thickTop="1" thickBot="1">
      <c r="A4" s="36" t="s">
        <v>7</v>
      </c>
      <c r="B4" s="36"/>
      <c r="C4" s="36"/>
      <c r="D4" s="38" t="s">
        <v>8</v>
      </c>
      <c r="E4" s="38"/>
      <c r="F4" s="38"/>
      <c r="G4" s="38" t="s">
        <v>27</v>
      </c>
      <c r="H4" s="38"/>
      <c r="I4" s="38"/>
      <c r="J4" s="38" t="s">
        <v>9</v>
      </c>
      <c r="K4" s="38"/>
      <c r="L4" s="38"/>
      <c r="M4" s="38" t="s">
        <v>9</v>
      </c>
      <c r="N4" s="38"/>
      <c r="O4" s="38"/>
      <c r="S4" s="20" t="s">
        <v>11</v>
      </c>
      <c r="T4" s="20"/>
      <c r="U4" s="20"/>
      <c r="V4" s="20"/>
      <c r="W4" s="20"/>
      <c r="X4" s="20"/>
      <c r="Y4" s="20"/>
      <c r="Z4" s="20"/>
      <c r="AA4" s="20"/>
    </row>
    <row r="5" spans="1:27" ht="17.25" thickTop="1" thickBot="1">
      <c r="A5" s="36" t="s">
        <v>12</v>
      </c>
      <c r="B5" s="36"/>
      <c r="C5" s="36"/>
      <c r="D5" s="38" t="s">
        <v>93</v>
      </c>
      <c r="E5" s="38"/>
      <c r="F5" s="38"/>
      <c r="G5" s="38" t="s">
        <v>19</v>
      </c>
      <c r="H5" s="38"/>
      <c r="I5" s="38"/>
      <c r="J5" s="38" t="s">
        <v>14</v>
      </c>
      <c r="K5" s="38"/>
      <c r="L5" s="38"/>
      <c r="M5" s="38" t="s">
        <v>14</v>
      </c>
      <c r="N5" s="38"/>
      <c r="O5" s="38"/>
      <c r="S5" s="24"/>
      <c r="T5" s="24"/>
      <c r="U5" s="24"/>
      <c r="V5" s="24"/>
      <c r="W5" s="24"/>
      <c r="X5" s="20"/>
      <c r="Y5" s="20"/>
      <c r="Z5" s="20"/>
      <c r="AA5" s="20"/>
    </row>
    <row r="6" spans="1:27" ht="17.25" thickTop="1" thickBot="1">
      <c r="A6" s="36" t="s">
        <v>15</v>
      </c>
      <c r="B6" s="36"/>
      <c r="C6" s="36"/>
      <c r="D6" s="38"/>
      <c r="E6" s="38"/>
      <c r="F6" s="38"/>
      <c r="G6" s="38"/>
      <c r="H6" s="38"/>
      <c r="I6" s="38"/>
      <c r="J6" s="38" t="s">
        <v>28</v>
      </c>
      <c r="K6" s="38"/>
      <c r="L6" s="38"/>
      <c r="M6" s="38"/>
      <c r="N6" s="38"/>
      <c r="O6" s="38"/>
      <c r="S6" s="24"/>
      <c r="T6" s="25" t="s">
        <v>5</v>
      </c>
      <c r="U6" s="25" t="s">
        <v>8</v>
      </c>
      <c r="V6" s="25" t="s">
        <v>93</v>
      </c>
      <c r="W6" s="25" t="s">
        <v>16</v>
      </c>
      <c r="X6" s="20"/>
      <c r="Y6" s="20"/>
      <c r="Z6" s="20"/>
      <c r="AA6" s="20"/>
    </row>
    <row r="7" spans="1:27" ht="28.35" customHeight="1" thickTop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S7" s="24"/>
      <c r="T7" s="25" t="s">
        <v>6</v>
      </c>
      <c r="U7" s="25" t="s">
        <v>10</v>
      </c>
      <c r="V7" s="25" t="s">
        <v>13</v>
      </c>
      <c r="W7" s="25"/>
      <c r="X7" s="20"/>
      <c r="Y7" s="20"/>
      <c r="Z7" s="20"/>
      <c r="AA7" s="20"/>
    </row>
    <row r="8" spans="1:27" ht="28.35" customHeight="1" thickTop="1" thickBot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S8" s="24"/>
      <c r="T8" s="25" t="s">
        <v>18</v>
      </c>
      <c r="U8" s="26" t="s">
        <v>9</v>
      </c>
      <c r="V8" s="25" t="s">
        <v>14</v>
      </c>
      <c r="W8" s="24"/>
      <c r="X8" s="20"/>
      <c r="Y8" s="20"/>
      <c r="Z8" s="20"/>
      <c r="AA8" s="20"/>
    </row>
    <row r="9" spans="1:27" ht="14.25" customHeight="1" thickTop="1" thickBot="1">
      <c r="A9" s="53" t="s">
        <v>20</v>
      </c>
      <c r="B9" s="54"/>
      <c r="C9" s="55" t="s">
        <v>21</v>
      </c>
      <c r="D9" s="56"/>
      <c r="E9" s="42" t="s">
        <v>22</v>
      </c>
      <c r="F9" s="56"/>
      <c r="G9" s="42" t="s">
        <v>23</v>
      </c>
      <c r="H9" s="56"/>
      <c r="I9" s="42" t="s">
        <v>24</v>
      </c>
      <c r="J9" s="56"/>
      <c r="K9" s="42" t="s">
        <v>25</v>
      </c>
      <c r="L9" s="56"/>
      <c r="M9" s="42" t="s">
        <v>26</v>
      </c>
      <c r="N9" s="43"/>
      <c r="O9" s="44"/>
      <c r="Q9" t="s">
        <v>11</v>
      </c>
      <c r="S9" s="24"/>
      <c r="T9" s="25"/>
      <c r="U9" s="25" t="s">
        <v>27</v>
      </c>
      <c r="V9" s="27" t="s">
        <v>19</v>
      </c>
      <c r="W9" s="25" t="s">
        <v>28</v>
      </c>
      <c r="X9" s="20"/>
      <c r="Y9" s="20"/>
      <c r="Z9" s="20"/>
      <c r="AA9" s="20"/>
    </row>
    <row r="10" spans="1:27" s="1" customFormat="1" ht="19.7" customHeight="1" thickBot="1">
      <c r="A10" s="45" t="s">
        <v>29</v>
      </c>
      <c r="B10" s="46"/>
      <c r="C10" s="47">
        <v>445433</v>
      </c>
      <c r="D10" s="48"/>
      <c r="E10" s="47">
        <v>445433</v>
      </c>
      <c r="F10" s="48"/>
      <c r="G10" s="47">
        <v>445433</v>
      </c>
      <c r="H10" s="49"/>
      <c r="I10" s="47">
        <v>445433</v>
      </c>
      <c r="J10" s="48"/>
      <c r="K10" s="47">
        <v>445433</v>
      </c>
      <c r="L10" s="48"/>
      <c r="M10" s="50">
        <f>IF(OR(K10=0,C10=0),"-",IF((K10-C10)&lt;0,"Erreur",(K10-C10)))</f>
        <v>0</v>
      </c>
      <c r="N10" s="51"/>
      <c r="O10" s="52"/>
      <c r="S10" s="28" t="s">
        <v>30</v>
      </c>
      <c r="T10" s="27"/>
      <c r="U10" s="27"/>
      <c r="V10" s="27"/>
      <c r="W10" s="27"/>
      <c r="X10" s="23"/>
      <c r="Y10" s="23"/>
      <c r="Z10" s="23"/>
      <c r="AA10" s="23"/>
    </row>
    <row r="11" spans="1:27" s="1" customFormat="1" ht="19.7" customHeight="1" thickBot="1">
      <c r="A11" s="60" t="s">
        <v>31</v>
      </c>
      <c r="B11" s="61"/>
      <c r="C11" s="62">
        <v>228853</v>
      </c>
      <c r="D11" s="63"/>
      <c r="E11" s="64"/>
      <c r="F11" s="64"/>
      <c r="G11" s="65"/>
      <c r="H11" s="66"/>
      <c r="I11" s="64"/>
      <c r="J11" s="64"/>
      <c r="K11" s="62">
        <v>228853</v>
      </c>
      <c r="L11" s="63"/>
      <c r="M11" s="57">
        <f>IF(OR(K11=0,C11=0),"-",IF((K11-C11)&lt;0,"Erreur",(K11-C11)))</f>
        <v>0</v>
      </c>
      <c r="N11" s="58"/>
      <c r="O11" s="59"/>
      <c r="S11" s="28" t="s">
        <v>32</v>
      </c>
      <c r="T11" s="27"/>
      <c r="U11" s="27"/>
      <c r="V11" s="27"/>
      <c r="W11" s="27"/>
      <c r="X11" s="23"/>
      <c r="Y11" s="23"/>
      <c r="Z11" s="23"/>
      <c r="AA11" s="23"/>
    </row>
    <row r="12" spans="1:27" s="1" customFormat="1" ht="19.7" customHeight="1" thickBot="1">
      <c r="A12" s="60" t="s">
        <v>33</v>
      </c>
      <c r="B12" s="61"/>
      <c r="C12" s="62">
        <v>72124</v>
      </c>
      <c r="D12" s="63"/>
      <c r="E12" s="64"/>
      <c r="F12" s="64"/>
      <c r="G12" s="65"/>
      <c r="H12" s="66"/>
      <c r="I12" s="64"/>
      <c r="J12" s="64"/>
      <c r="K12" s="62">
        <v>72124</v>
      </c>
      <c r="L12" s="63"/>
      <c r="M12" s="57">
        <f>IF(OR(K12=0,C12=0),"-",IF((K12-C12)&lt;0,"Erreur",(K12-C12)))</f>
        <v>0</v>
      </c>
      <c r="N12" s="58"/>
      <c r="O12" s="59"/>
      <c r="S12" s="28" t="s">
        <v>34</v>
      </c>
      <c r="T12" s="25"/>
      <c r="U12" s="25"/>
      <c r="V12" s="25"/>
      <c r="W12" s="25"/>
      <c r="X12" s="22"/>
      <c r="Y12" s="22"/>
      <c r="Z12" s="22"/>
      <c r="AA12" s="22"/>
    </row>
    <row r="13" spans="1:27" s="1" customFormat="1" ht="19.7" customHeight="1" thickBot="1">
      <c r="A13" s="82" t="s">
        <v>35</v>
      </c>
      <c r="B13" s="83"/>
      <c r="C13" s="84">
        <v>39185245</v>
      </c>
      <c r="D13" s="85"/>
      <c r="E13" s="84">
        <v>39187395</v>
      </c>
      <c r="F13" s="85"/>
      <c r="G13" s="84">
        <v>39190671</v>
      </c>
      <c r="H13" s="85"/>
      <c r="I13" s="84">
        <v>39191772</v>
      </c>
      <c r="J13" s="85"/>
      <c r="K13" s="84">
        <v>39192248</v>
      </c>
      <c r="L13" s="85"/>
      <c r="M13" s="57">
        <f>IF(OR(K13=0,C13=0),"-",IF((K13-C13)&lt;0,"Erreur",(K13-C13)))</f>
        <v>7003</v>
      </c>
      <c r="N13" s="58"/>
      <c r="O13" s="59"/>
      <c r="S13" s="29" t="s">
        <v>36</v>
      </c>
      <c r="T13" s="27"/>
      <c r="U13" s="27"/>
      <c r="V13" s="27"/>
      <c r="W13" s="27"/>
      <c r="X13" s="23"/>
      <c r="Y13" s="23"/>
      <c r="Z13" s="23"/>
      <c r="AA13" s="23"/>
    </row>
    <row r="14" spans="1:27" s="1" customFormat="1" ht="11.25" customHeight="1" thickTop="1" thickBot="1">
      <c r="A14"/>
      <c r="B14"/>
      <c r="C14"/>
      <c r="D14"/>
      <c r="E14"/>
      <c r="F14"/>
      <c r="I14"/>
      <c r="J14"/>
      <c r="K14"/>
      <c r="L14"/>
      <c r="M14"/>
      <c r="N14"/>
      <c r="O14"/>
    </row>
    <row r="15" spans="1:27" ht="17.25" thickTop="1" thickBot="1">
      <c r="A15" s="67" t="s">
        <v>37</v>
      </c>
      <c r="B15" s="68"/>
      <c r="C15" s="68"/>
      <c r="D15" s="68"/>
      <c r="E15" s="68"/>
      <c r="F15" s="68"/>
      <c r="G15" s="68"/>
      <c r="H15" s="69"/>
      <c r="I15" s="4"/>
      <c r="J15" s="70" t="s">
        <v>38</v>
      </c>
      <c r="K15" s="71"/>
      <c r="L15" s="72"/>
      <c r="M15" s="73"/>
      <c r="N15" s="5"/>
      <c r="O15" s="1"/>
    </row>
    <row r="16" spans="1:27" ht="16.5" thickTop="1" thickBot="1">
      <c r="A16" s="74" t="s">
        <v>39</v>
      </c>
      <c r="B16" s="75"/>
      <c r="C16" s="76" t="s">
        <v>40</v>
      </c>
      <c r="D16" s="76"/>
      <c r="E16" s="76" t="s">
        <v>41</v>
      </c>
      <c r="F16" s="76"/>
      <c r="G16" s="76" t="s">
        <v>42</v>
      </c>
      <c r="H16" s="77"/>
      <c r="I16" s="6"/>
      <c r="J16" s="78" t="s">
        <v>43</v>
      </c>
      <c r="K16" s="79"/>
      <c r="L16" s="80"/>
      <c r="M16" s="81"/>
      <c r="N16" s="7"/>
      <c r="O16" s="1"/>
    </row>
    <row r="17" spans="1:23" ht="28.35" customHeight="1" thickTop="1" thickBot="1">
      <c r="A17" s="93">
        <f>IF(OR(E10=0,G10=0),"-",IF((G10-E10)&lt;0,"Erreur",(G10-E10)))</f>
        <v>0</v>
      </c>
      <c r="B17" s="94"/>
      <c r="C17" s="93">
        <f>IF(OR(I10=0,G10=0),"-",IF((I10-G10)&lt;0,"Erreur",(I10-G10)))</f>
        <v>0</v>
      </c>
      <c r="D17" s="94"/>
      <c r="E17" s="95">
        <f>IF(OR(I10=0,K10=0,C10=0,E10=0),"-",IF(((K10-I10)+(E10-C10))&lt;0,"Erreur",((K10-I10)+(E10-C10))))</f>
        <v>0</v>
      </c>
      <c r="F17" s="96"/>
      <c r="G17" s="97">
        <f>SUM(A17:F17)</f>
        <v>0</v>
      </c>
      <c r="H17" s="98"/>
      <c r="I17" s="3"/>
      <c r="J17" s="99" t="s">
        <v>44</v>
      </c>
      <c r="K17" s="100"/>
      <c r="L17" s="101"/>
      <c r="M17" s="102"/>
      <c r="N17" s="8"/>
      <c r="O17" s="1"/>
      <c r="Q17" s="86" t="s">
        <v>45</v>
      </c>
      <c r="R17" s="87"/>
      <c r="S17" s="87"/>
      <c r="T17" s="87"/>
      <c r="U17" s="87"/>
      <c r="V17" s="88"/>
      <c r="W17" s="9">
        <f>L15</f>
        <v>0</v>
      </c>
    </row>
    <row r="18" spans="1:23" ht="28.35" customHeight="1" thickTop="1" thickBot="1">
      <c r="A18" s="6"/>
      <c r="B18" s="6"/>
      <c r="C18" s="6"/>
      <c r="D18" s="3"/>
      <c r="E18" s="3"/>
      <c r="F18" s="3"/>
      <c r="G18" s="3"/>
      <c r="H18" s="3"/>
      <c r="I18" s="3"/>
      <c r="J18" s="89" t="s">
        <v>46</v>
      </c>
      <c r="K18" s="90"/>
      <c r="L18" s="91"/>
      <c r="M18" s="92"/>
      <c r="N18" s="8"/>
      <c r="O18" s="1"/>
      <c r="Q18" s="86" t="s">
        <v>47</v>
      </c>
      <c r="R18" s="87"/>
      <c r="S18" s="87"/>
      <c r="T18" s="87"/>
      <c r="U18" s="87"/>
      <c r="V18" s="88"/>
      <c r="W18" s="10">
        <f>L17</f>
        <v>0</v>
      </c>
    </row>
    <row r="19" spans="1:23" ht="28.35" customHeight="1" thickTop="1" thickBot="1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3"/>
      <c r="M19" s="3"/>
      <c r="N19" s="3"/>
      <c r="O19" s="1"/>
      <c r="Q19" s="86" t="s">
        <v>48</v>
      </c>
      <c r="R19" s="87"/>
      <c r="S19" s="87"/>
      <c r="T19" s="87"/>
      <c r="U19" s="87"/>
      <c r="V19" s="88"/>
      <c r="W19" s="9">
        <f>L39</f>
        <v>0</v>
      </c>
    </row>
    <row r="20" spans="1:23" ht="26.25" customHeight="1" thickTop="1" thickBot="1">
      <c r="A20" s="39" t="s">
        <v>49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Q20" s="86" t="s">
        <v>50</v>
      </c>
      <c r="R20" s="87"/>
      <c r="S20" s="87"/>
      <c r="T20" s="87"/>
      <c r="U20" s="87"/>
      <c r="V20" s="88"/>
      <c r="W20" s="9">
        <f>L33</f>
        <v>0</v>
      </c>
    </row>
    <row r="21" spans="1:23" ht="24.75" customHeight="1" thickTop="1">
      <c r="A21" s="103"/>
      <c r="B21" s="71"/>
      <c r="C21" s="71"/>
      <c r="D21" s="104">
        <v>1</v>
      </c>
      <c r="E21" s="104"/>
      <c r="F21" s="104"/>
      <c r="G21" s="104"/>
      <c r="H21" s="104">
        <v>2</v>
      </c>
      <c r="I21" s="104"/>
      <c r="J21" s="104"/>
      <c r="K21" s="104"/>
      <c r="L21" s="104">
        <v>3</v>
      </c>
      <c r="M21" s="104"/>
      <c r="N21" s="105"/>
      <c r="O21" s="106"/>
      <c r="Q21" s="86" t="s">
        <v>51</v>
      </c>
      <c r="R21" s="87"/>
      <c r="S21" s="87"/>
      <c r="T21" s="87"/>
      <c r="U21" s="87"/>
      <c r="V21" s="88"/>
      <c r="W21" s="9">
        <f>L40</f>
        <v>0</v>
      </c>
    </row>
    <row r="22" spans="1:23" ht="18.75" customHeight="1" thickBot="1">
      <c r="A22" s="107" t="s">
        <v>94</v>
      </c>
      <c r="B22" s="108"/>
      <c r="C22" s="109"/>
      <c r="D22" s="62"/>
      <c r="E22" s="110"/>
      <c r="F22" s="110"/>
      <c r="G22" s="111"/>
      <c r="H22" s="112"/>
      <c r="I22" s="112"/>
      <c r="J22" s="112"/>
      <c r="K22" s="112"/>
      <c r="L22" s="112"/>
      <c r="M22" s="112"/>
      <c r="N22" s="62"/>
      <c r="O22" s="113"/>
      <c r="Q22" s="114" t="s">
        <v>52</v>
      </c>
      <c r="R22" s="115"/>
      <c r="S22" s="115"/>
      <c r="T22" s="115"/>
      <c r="U22" s="115"/>
      <c r="V22" s="116"/>
      <c r="W22" s="11">
        <f>L36</f>
        <v>0</v>
      </c>
    </row>
    <row r="23" spans="1:23" ht="17.25" customHeight="1" thickTop="1">
      <c r="A23" s="107" t="s">
        <v>53</v>
      </c>
      <c r="B23" s="108"/>
      <c r="C23" s="109"/>
      <c r="D23" s="62"/>
      <c r="E23" s="110"/>
      <c r="F23" s="110"/>
      <c r="G23" s="111"/>
      <c r="H23" s="62"/>
      <c r="I23" s="110"/>
      <c r="J23" s="110"/>
      <c r="K23" s="111"/>
      <c r="L23" s="112"/>
      <c r="M23" s="112"/>
      <c r="N23" s="62"/>
      <c r="O23" s="113"/>
      <c r="Q23" s="117" t="s">
        <v>54</v>
      </c>
      <c r="R23" s="118"/>
      <c r="S23" s="118"/>
      <c r="T23" s="118"/>
      <c r="U23" s="118"/>
      <c r="V23" s="119"/>
      <c r="W23" s="12">
        <f>L29</f>
        <v>0</v>
      </c>
    </row>
    <row r="24" spans="1:23" ht="22.5" customHeight="1" thickBot="1">
      <c r="A24" s="120" t="s">
        <v>55</v>
      </c>
      <c r="B24" s="121"/>
      <c r="C24" s="121"/>
      <c r="D24" s="122" t="str">
        <f>IF(OR(D22=0,D23=0),"-",IF((D23-D22)&lt;0,"Erreur",(D23-D22)))</f>
        <v>-</v>
      </c>
      <c r="E24" s="123"/>
      <c r="F24" s="123"/>
      <c r="G24" s="124"/>
      <c r="H24" s="122" t="str">
        <f>IF(OR(H22=0,H23=0),"-",IF((H23-H22)&lt;0,"Erreur",(H23-H22)))</f>
        <v>-</v>
      </c>
      <c r="I24" s="123"/>
      <c r="J24" s="123"/>
      <c r="K24" s="124"/>
      <c r="L24" s="122" t="str">
        <f>IF(OR(L22=0,L23=0),"-",IF((L23-L22)&lt;0,"Erreur",(L23-L22)))</f>
        <v>-</v>
      </c>
      <c r="M24" s="123"/>
      <c r="N24" s="123"/>
      <c r="O24" s="124"/>
      <c r="Q24" s="114" t="s">
        <v>56</v>
      </c>
      <c r="R24" s="115"/>
      <c r="S24" s="115"/>
      <c r="T24" s="115"/>
      <c r="U24" s="115"/>
      <c r="V24" s="116"/>
      <c r="W24" s="11">
        <f>L30</f>
        <v>0</v>
      </c>
    </row>
    <row r="25" spans="1:23" ht="28.35" customHeight="1" thickTop="1" thickBot="1">
      <c r="A25" s="7"/>
      <c r="B25" s="7"/>
      <c r="C25" s="7"/>
      <c r="D25" s="136"/>
      <c r="E25" s="136"/>
      <c r="F25" s="136"/>
      <c r="G25" s="137"/>
      <c r="H25" s="138" t="s">
        <v>42</v>
      </c>
      <c r="I25" s="139"/>
      <c r="J25" s="139"/>
      <c r="K25" s="140"/>
      <c r="L25" s="97" t="str">
        <f>IF(SUM(D24:O24)=0,"-",SUM(D24:O24))</f>
        <v>-</v>
      </c>
      <c r="M25" s="141"/>
      <c r="N25" s="141"/>
      <c r="O25" s="98"/>
      <c r="Q25" s="142" t="s">
        <v>57</v>
      </c>
      <c r="R25" s="143"/>
      <c r="S25" s="143"/>
      <c r="T25" s="143"/>
      <c r="U25" s="143"/>
      <c r="V25" s="144"/>
      <c r="W25" s="12">
        <f>M10</f>
        <v>0</v>
      </c>
    </row>
    <row r="26" spans="1:23" ht="16.5" thickTop="1" thickBot="1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145" t="s">
        <v>58</v>
      </c>
      <c r="R26" s="146"/>
      <c r="S26" s="146"/>
      <c r="T26" s="146"/>
      <c r="U26" s="146"/>
      <c r="V26" s="147"/>
      <c r="W26" s="9" t="e">
        <f>L25/1000</f>
        <v>#VALUE!</v>
      </c>
    </row>
    <row r="27" spans="1:23" ht="28.35" customHeight="1" thickTop="1">
      <c r="B27" s="6"/>
      <c r="C27" s="13"/>
      <c r="D27" s="148" t="s">
        <v>21</v>
      </c>
      <c r="E27" s="149"/>
      <c r="F27" s="149"/>
      <c r="G27" s="149"/>
      <c r="H27" s="149" t="s">
        <v>25</v>
      </c>
      <c r="I27" s="149"/>
      <c r="J27" s="149"/>
      <c r="K27" s="149"/>
      <c r="L27" s="149" t="s">
        <v>59</v>
      </c>
      <c r="M27" s="149"/>
      <c r="N27" s="150"/>
      <c r="Q27" s="128" t="s">
        <v>60</v>
      </c>
      <c r="R27" s="129"/>
      <c r="S27" s="129"/>
      <c r="T27" s="129"/>
      <c r="U27" s="129"/>
      <c r="V27" s="130"/>
      <c r="W27" s="9" t="e">
        <f>IF(AND(W25=0, W26="-"), "-",W25-(W26))</f>
        <v>#VALUE!</v>
      </c>
    </row>
    <row r="28" spans="1:23" ht="28.35" customHeight="1" thickBot="1">
      <c r="A28" s="1"/>
      <c r="B28" s="125" t="s">
        <v>61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Q28" s="128" t="s">
        <v>62</v>
      </c>
      <c r="R28" s="129"/>
      <c r="S28" s="129"/>
      <c r="T28" s="129"/>
      <c r="U28" s="129"/>
      <c r="V28" s="130"/>
      <c r="W28" s="14">
        <f>M13/1000</f>
        <v>7.0030000000000001</v>
      </c>
    </row>
    <row r="29" spans="1:23" ht="28.35" customHeight="1" thickTop="1" thickBot="1">
      <c r="B29" s="131" t="s">
        <v>63</v>
      </c>
      <c r="C29" s="132"/>
      <c r="D29" s="133">
        <v>746897148.70000005</v>
      </c>
      <c r="E29" s="133"/>
      <c r="F29" s="133"/>
      <c r="G29" s="133"/>
      <c r="H29" s="133">
        <v>746897148.70000005</v>
      </c>
      <c r="I29" s="133"/>
      <c r="J29" s="133"/>
      <c r="K29" s="133"/>
      <c r="L29" s="134">
        <f>IF(OR(H29=0,D29=0),"-",IF((H29-D29)&lt;0,"Erreur",(H29-D29)))</f>
        <v>0</v>
      </c>
      <c r="M29" s="134"/>
      <c r="N29" s="135"/>
    </row>
    <row r="30" spans="1:23" ht="28.35" customHeight="1" thickTop="1" thickBot="1">
      <c r="B30" s="120" t="s">
        <v>64</v>
      </c>
      <c r="C30" s="121"/>
      <c r="D30" s="151">
        <v>638200</v>
      </c>
      <c r="E30" s="152"/>
      <c r="F30" s="152"/>
      <c r="G30" s="153"/>
      <c r="H30" s="151">
        <v>638200</v>
      </c>
      <c r="I30" s="152"/>
      <c r="J30" s="152"/>
      <c r="K30" s="153"/>
      <c r="L30" s="134">
        <f>IF(OR(H30=0,D30=0),"-",IF((H30-D30)&lt;0,"Erreur",(H30-D30)))</f>
        <v>0</v>
      </c>
      <c r="M30" s="134"/>
      <c r="N30" s="135"/>
    </row>
    <row r="31" spans="1:23" ht="28.35" customHeight="1" thickTop="1" thickBot="1">
      <c r="A31" s="1"/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1:23" ht="30" customHeight="1" thickTop="1" thickBot="1">
      <c r="B32" s="131" t="s">
        <v>66</v>
      </c>
      <c r="C32" s="132"/>
      <c r="D32" s="133">
        <v>8</v>
      </c>
      <c r="E32" s="133"/>
      <c r="F32" s="133"/>
      <c r="G32" s="133"/>
      <c r="H32" s="133">
        <v>8</v>
      </c>
      <c r="I32" s="133"/>
      <c r="J32" s="133"/>
      <c r="K32" s="133"/>
      <c r="L32" s="134">
        <f>IF(OR(H32=0,D32=0),"-",IF((H32-D32)&lt;0,"Erreur",(H32-D32)))</f>
        <v>0</v>
      </c>
      <c r="M32" s="134"/>
      <c r="N32" s="135"/>
    </row>
    <row r="33" spans="1:31" ht="25.5" customHeight="1" thickTop="1" thickBot="1">
      <c r="B33" s="157" t="s">
        <v>67</v>
      </c>
      <c r="C33" s="158"/>
      <c r="D33" s="159">
        <v>2341</v>
      </c>
      <c r="E33" s="159"/>
      <c r="F33" s="159"/>
      <c r="G33" s="159"/>
      <c r="H33" s="159">
        <v>2341</v>
      </c>
      <c r="I33" s="159"/>
      <c r="J33" s="159"/>
      <c r="K33" s="159"/>
      <c r="L33" s="134">
        <f>IF(OR(H33=0,D33=0),"-",IF((H33-D33)&lt;0,"Erreur",(H33-D33)))</f>
        <v>0</v>
      </c>
      <c r="M33" s="134"/>
      <c r="N33" s="135"/>
    </row>
    <row r="34" spans="1:31" ht="21.75" customHeight="1" thickTop="1" thickBot="1">
      <c r="B34" s="157" t="s">
        <v>68</v>
      </c>
      <c r="C34" s="158"/>
      <c r="D34" s="159">
        <v>5</v>
      </c>
      <c r="E34" s="159"/>
      <c r="F34" s="159"/>
      <c r="G34" s="159"/>
      <c r="H34" s="159">
        <v>5</v>
      </c>
      <c r="I34" s="159"/>
      <c r="J34" s="159"/>
      <c r="K34" s="159"/>
      <c r="L34" s="134">
        <f>IF(OR(H34=0,D34=0),"-",IF((H34-D34)&lt;0,"Erreur",(H34-D34)))</f>
        <v>0</v>
      </c>
      <c r="M34" s="134"/>
      <c r="N34" s="135"/>
    </row>
    <row r="35" spans="1:31" ht="28.35" customHeight="1" thickTop="1" thickBot="1">
      <c r="B35" s="157" t="s">
        <v>69</v>
      </c>
      <c r="C35" s="158"/>
      <c r="D35" s="159">
        <v>2268</v>
      </c>
      <c r="E35" s="159"/>
      <c r="F35" s="159"/>
      <c r="G35" s="159"/>
      <c r="H35" s="159">
        <v>2268</v>
      </c>
      <c r="I35" s="159"/>
      <c r="J35" s="159"/>
      <c r="K35" s="159"/>
      <c r="L35" s="134">
        <f>IF(OR(H35=0,D35=0),"-",IF((H35-D35)&lt;0,"Erreur",(H35-D35)))</f>
        <v>0</v>
      </c>
      <c r="M35" s="134"/>
      <c r="N35" s="135"/>
    </row>
    <row r="36" spans="1:31" ht="28.35" customHeight="1" thickTop="1">
      <c r="B36" s="157" t="s">
        <v>70</v>
      </c>
      <c r="C36" s="158"/>
      <c r="D36" s="160">
        <v>27</v>
      </c>
      <c r="E36" s="161"/>
      <c r="F36" s="161"/>
      <c r="G36" s="162"/>
      <c r="H36" s="160">
        <v>27</v>
      </c>
      <c r="I36" s="161"/>
      <c r="J36" s="161"/>
      <c r="K36" s="162"/>
      <c r="L36" s="134">
        <f>IF(OR(H36=0,D36=0),"-",IF((H36-D36)&lt;0,"Erreur",(H36-D36)))</f>
        <v>0</v>
      </c>
      <c r="M36" s="134"/>
      <c r="N36" s="135"/>
    </row>
    <row r="37" spans="1:31" ht="28.35" customHeight="1" thickBot="1">
      <c r="B37" s="163" t="s">
        <v>71</v>
      </c>
      <c r="C37" s="164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65"/>
    </row>
    <row r="38" spans="1:31" ht="17.25" thickTop="1" thickBot="1">
      <c r="A38" s="1"/>
      <c r="B38" s="154" t="s">
        <v>72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R38" s="1"/>
      <c r="S38" s="1"/>
      <c r="T38" s="1"/>
      <c r="U38" s="1"/>
      <c r="V38" s="1"/>
    </row>
    <row r="39" spans="1:31" ht="25.5" customHeight="1" thickTop="1" thickBot="1">
      <c r="B39" s="131" t="s">
        <v>73</v>
      </c>
      <c r="C39" s="132"/>
      <c r="D39" s="166">
        <v>28081.9</v>
      </c>
      <c r="E39" s="167"/>
      <c r="F39" s="167"/>
      <c r="G39" s="168"/>
      <c r="H39" s="166">
        <v>28081.9</v>
      </c>
      <c r="I39" s="167"/>
      <c r="J39" s="167"/>
      <c r="K39" s="168"/>
      <c r="L39" s="134">
        <f>IF(OR(H39=0,D39=0),"-",IF((H39-D39)&lt;0,"Erreur",(H39-D39)))</f>
        <v>0</v>
      </c>
      <c r="M39" s="134"/>
      <c r="N39" s="135"/>
      <c r="R39" s="30"/>
      <c r="S39" s="15"/>
      <c r="T39" s="15"/>
      <c r="U39" s="15"/>
      <c r="V39" s="15"/>
    </row>
    <row r="40" spans="1:31" ht="22.5" customHeight="1" thickTop="1" thickBot="1">
      <c r="B40" s="157" t="s">
        <v>74</v>
      </c>
      <c r="C40" s="158"/>
      <c r="D40" s="160">
        <v>361.9</v>
      </c>
      <c r="E40" s="161"/>
      <c r="F40" s="161"/>
      <c r="G40" s="162"/>
      <c r="H40" s="159">
        <v>361.9</v>
      </c>
      <c r="I40" s="159"/>
      <c r="J40" s="159"/>
      <c r="K40" s="159"/>
      <c r="L40" s="134">
        <f>IF(OR(H40=0,D40=0),"-",IF((H40-D40)&lt;0,"Erreur",(H40-D40)))</f>
        <v>0</v>
      </c>
      <c r="M40" s="134"/>
      <c r="N40" s="135"/>
      <c r="R40" s="1"/>
      <c r="S40" s="15"/>
      <c r="T40" s="15"/>
      <c r="U40" s="15"/>
      <c r="V40" s="15"/>
    </row>
    <row r="41" spans="1:31" ht="21" customHeight="1" thickTop="1" thickBot="1">
      <c r="B41" s="157" t="s">
        <v>75</v>
      </c>
      <c r="C41" s="158"/>
      <c r="D41" s="160">
        <v>28050</v>
      </c>
      <c r="E41" s="161"/>
      <c r="F41" s="161"/>
      <c r="G41" s="162"/>
      <c r="H41" s="159">
        <v>28050</v>
      </c>
      <c r="I41" s="159"/>
      <c r="J41" s="159"/>
      <c r="K41" s="159"/>
      <c r="L41" s="134">
        <f>IF(OR(H41=0,D41=0),"-",IF((H41-D41)&lt;0,"Erreur",(H41-D41)))</f>
        <v>0</v>
      </c>
      <c r="M41" s="134"/>
      <c r="N41" s="135"/>
      <c r="R41" s="1"/>
      <c r="S41" s="15"/>
      <c r="T41" s="15"/>
      <c r="U41" s="15"/>
      <c r="V41" s="15"/>
    </row>
    <row r="42" spans="1:31" ht="21.75" customHeight="1" thickTop="1" thickBot="1">
      <c r="B42" s="163" t="s">
        <v>76</v>
      </c>
      <c r="C42" s="164"/>
      <c r="D42" s="151">
        <v>36.5</v>
      </c>
      <c r="E42" s="152"/>
      <c r="F42" s="152"/>
      <c r="G42" s="153"/>
      <c r="H42" s="177">
        <v>36.5</v>
      </c>
      <c r="I42" s="177"/>
      <c r="J42" s="177"/>
      <c r="K42" s="177"/>
      <c r="L42" s="134">
        <f>IF(OR(H42=0,D42=0),"-",IF((H42-D42)&lt;0,"Erreur",(H42-D42)))</f>
        <v>0</v>
      </c>
      <c r="M42" s="134"/>
      <c r="N42" s="135"/>
      <c r="R42" s="1"/>
      <c r="S42" s="15"/>
      <c r="T42" s="15"/>
      <c r="U42" s="15"/>
      <c r="V42" s="15"/>
    </row>
    <row r="43" spans="1:31" ht="16.5" thickTop="1" thickBot="1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6"/>
    </row>
    <row r="44" spans="1:31" ht="20.25" thickTop="1" thickBot="1">
      <c r="A44" s="169" t="s">
        <v>44</v>
      </c>
      <c r="B44" s="169"/>
      <c r="C44" s="169" t="s">
        <v>77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Q44" s="169" t="s">
        <v>44</v>
      </c>
      <c r="R44" s="169"/>
      <c r="S44" s="169" t="s">
        <v>78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5.75" customHeight="1" thickTop="1">
      <c r="A45" s="170" t="s">
        <v>21</v>
      </c>
      <c r="B45" s="171"/>
      <c r="C45" s="172" t="s">
        <v>300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4"/>
      <c r="Q45" s="175"/>
      <c r="R45" s="176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4"/>
    </row>
    <row r="46" spans="1:31">
      <c r="A46" s="187"/>
      <c r="B46" s="188"/>
      <c r="C46" s="180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7"/>
      <c r="Q46" s="175"/>
      <c r="R46" s="176"/>
      <c r="S46" s="180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4"/>
    </row>
    <row r="47" spans="1:31">
      <c r="A47" s="182"/>
      <c r="B47" s="267"/>
      <c r="C47" s="189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1"/>
      <c r="Q47" s="175"/>
      <c r="R47" s="176"/>
      <c r="S47" s="268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>
      <c r="A48" s="251"/>
      <c r="B48" s="181"/>
      <c r="C48" s="180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7"/>
      <c r="Q48" s="181"/>
      <c r="R48" s="181"/>
      <c r="S48" s="172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4"/>
    </row>
    <row r="49" spans="1:31" ht="18" customHeight="1">
      <c r="A49" s="178"/>
      <c r="B49" s="179"/>
      <c r="C49" s="17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4"/>
      <c r="Q49" s="181"/>
      <c r="R49" s="181"/>
      <c r="S49" s="180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4"/>
    </row>
    <row r="50" spans="1:31" ht="16.5" customHeight="1">
      <c r="A50" s="182"/>
      <c r="B50" s="183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4"/>
      <c r="Q50" s="181"/>
      <c r="R50" s="181"/>
      <c r="S50" s="184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6"/>
    </row>
    <row r="51" spans="1:31" ht="16.5" customHeight="1">
      <c r="A51" s="182"/>
      <c r="B51" s="183"/>
      <c r="C51" s="271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3"/>
      <c r="Q51" s="181"/>
      <c r="R51" s="181"/>
      <c r="S51" s="172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5"/>
    </row>
    <row r="52" spans="1:31" ht="16.5" customHeight="1">
      <c r="A52" s="181"/>
      <c r="B52" s="181"/>
      <c r="C52" s="271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5"/>
      <c r="Q52" s="175"/>
      <c r="R52" s="176"/>
      <c r="S52" s="172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4"/>
    </row>
    <row r="53" spans="1:31" ht="16.5" customHeight="1">
      <c r="A53" s="175"/>
      <c r="B53" s="176"/>
      <c r="C53" s="271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5"/>
      <c r="Q53" s="175"/>
      <c r="R53" s="176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4"/>
    </row>
    <row r="54" spans="1:31" ht="16.5" customHeight="1">
      <c r="A54" s="175"/>
      <c r="B54" s="176"/>
      <c r="C54" s="271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3"/>
      <c r="Q54" s="175"/>
      <c r="R54" s="176"/>
      <c r="S54" s="172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4"/>
    </row>
    <row r="55" spans="1:31" ht="16.5" customHeight="1">
      <c r="A55" s="175"/>
      <c r="B55" s="176"/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Q55" s="175"/>
      <c r="R55" s="176"/>
      <c r="S55" s="172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4"/>
    </row>
    <row r="56" spans="1:31">
      <c r="A56" s="175"/>
      <c r="B56" s="176"/>
      <c r="C56" s="271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3"/>
      <c r="Q56" s="181"/>
      <c r="R56" s="181"/>
      <c r="S56" s="172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5"/>
    </row>
    <row r="57" spans="1:31" ht="16.5" customHeight="1">
      <c r="A57" s="175"/>
      <c r="B57" s="176"/>
      <c r="C57" s="180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7"/>
      <c r="Q57" s="181"/>
      <c r="R57" s="181"/>
      <c r="S57" s="172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5"/>
    </row>
    <row r="58" spans="1:31" ht="16.5" customHeight="1">
      <c r="A58" s="175"/>
      <c r="B58" s="176"/>
      <c r="C58" s="189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1"/>
      <c r="Q58" s="175"/>
      <c r="R58" s="176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4"/>
    </row>
    <row r="59" spans="1:31" ht="16.5" customHeight="1">
      <c r="A59" s="175"/>
      <c r="B59" s="176"/>
      <c r="C59" s="180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7"/>
      <c r="Q59" s="175"/>
      <c r="R59" s="176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4"/>
    </row>
    <row r="60" spans="1:31" ht="16.5" customHeight="1">
      <c r="A60" s="181"/>
      <c r="B60" s="181"/>
      <c r="C60" s="189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1"/>
      <c r="Q60" s="175"/>
      <c r="R60" s="176"/>
      <c r="S60" s="172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4"/>
    </row>
    <row r="61" spans="1:31" ht="16.5" customHeight="1">
      <c r="A61" s="175"/>
      <c r="B61" s="176"/>
      <c r="C61" s="18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7"/>
      <c r="Q61" s="175"/>
      <c r="R61" s="176"/>
      <c r="S61" s="172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4"/>
    </row>
    <row r="62" spans="1:31" ht="16.5" customHeight="1">
      <c r="A62" s="198"/>
      <c r="B62" s="176"/>
      <c r="C62" s="172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4"/>
      <c r="Q62" s="175"/>
      <c r="R62" s="1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4"/>
    </row>
    <row r="63" spans="1:31">
      <c r="A63" s="175"/>
      <c r="B63" s="176"/>
      <c r="C63" s="180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Q63" s="175"/>
      <c r="R63" s="176"/>
      <c r="S63" s="172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4"/>
    </row>
    <row r="64" spans="1:31" ht="15.75" thickBot="1">
      <c r="A64" s="175"/>
      <c r="B64" s="176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4"/>
      <c r="Q64" s="199"/>
      <c r="R64" s="200"/>
      <c r="S64" s="208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10"/>
    </row>
    <row r="65" spans="1:31" ht="16.5" thickTop="1" thickBot="1">
      <c r="A65" s="199"/>
      <c r="B65" s="200"/>
      <c r="C65" s="180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24.75" thickTop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01" t="s">
        <v>79</v>
      </c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3"/>
    </row>
    <row r="67" spans="1:31" ht="24.75" thickTop="1" thickBot="1">
      <c r="A67" s="201" t="s">
        <v>79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3"/>
      <c r="Q67" s="204" t="s">
        <v>80</v>
      </c>
      <c r="R67" s="205"/>
      <c r="S67" s="206" t="s">
        <v>81</v>
      </c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</row>
    <row r="68" spans="1:31" ht="20.25" thickTop="1" thickBot="1">
      <c r="A68" s="204" t="s">
        <v>80</v>
      </c>
      <c r="B68" s="205"/>
      <c r="C68" s="206" t="s">
        <v>82</v>
      </c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Q68" s="218"/>
      <c r="R68" s="219"/>
      <c r="S68" s="220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2"/>
    </row>
    <row r="69" spans="1:31" ht="18.75">
      <c r="A69" s="218"/>
      <c r="B69" s="219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2"/>
      <c r="Q69" s="216"/>
      <c r="R69" s="217"/>
      <c r="S69" s="213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5"/>
    </row>
    <row r="70" spans="1:31" ht="18.75">
      <c r="A70" s="211"/>
      <c r="B70" s="212"/>
      <c r="C70" s="213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Q70" s="216"/>
      <c r="R70" s="217"/>
      <c r="S70" s="213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5"/>
    </row>
    <row r="71" spans="1:31" ht="18.75">
      <c r="A71" s="216"/>
      <c r="B71" s="217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  <c r="Q71" s="216"/>
      <c r="R71" s="217"/>
      <c r="S71" s="213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5"/>
    </row>
    <row r="72" spans="1:31" ht="18.75">
      <c r="A72" s="216"/>
      <c r="B72" s="217"/>
      <c r="C72" s="213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5"/>
      <c r="Q72" s="216"/>
      <c r="R72" s="217"/>
      <c r="S72" s="213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5"/>
    </row>
    <row r="73" spans="1:31" ht="18.75">
      <c r="A73" s="216"/>
      <c r="B73" s="217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5"/>
      <c r="Q73" s="216"/>
      <c r="R73" s="217"/>
      <c r="S73" s="213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5"/>
    </row>
    <row r="74" spans="1:31" ht="18.75">
      <c r="A74" s="216"/>
      <c r="B74" s="217"/>
      <c r="C74" s="223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5"/>
      <c r="Q74" s="216"/>
      <c r="R74" s="217"/>
      <c r="S74" s="213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5"/>
    </row>
    <row r="75" spans="1:31" ht="18.75">
      <c r="A75" s="216"/>
      <c r="B75" s="217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5"/>
      <c r="Q75" s="216"/>
      <c r="R75" s="217"/>
      <c r="S75" s="213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5"/>
    </row>
    <row r="76" spans="1:31" ht="18.75">
      <c r="A76" s="216"/>
      <c r="B76" s="217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5"/>
      <c r="Q76" s="216"/>
      <c r="R76" s="217"/>
      <c r="S76" s="226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5"/>
    </row>
    <row r="77" spans="1:31" ht="18.75">
      <c r="A77" s="216"/>
      <c r="B77" s="217"/>
      <c r="C77" s="226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5"/>
      <c r="Q77" s="216"/>
      <c r="R77" s="217"/>
      <c r="S77" s="226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5"/>
    </row>
    <row r="78" spans="1:31" ht="19.5" thickBot="1">
      <c r="A78" s="216"/>
      <c r="B78" s="217"/>
      <c r="C78" s="226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5"/>
      <c r="Q78" s="216"/>
      <c r="R78" s="217"/>
      <c r="S78" s="226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5"/>
    </row>
    <row r="79" spans="1:31" ht="20.25" thickTop="1" thickBot="1">
      <c r="A79" s="216"/>
      <c r="B79" s="217"/>
      <c r="C79" s="226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5"/>
      <c r="Q79" s="227" t="s">
        <v>83</v>
      </c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9"/>
    </row>
    <row r="80" spans="1:31" ht="17.25" thickTop="1" thickBot="1">
      <c r="A80" s="227" t="s">
        <v>83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9"/>
      <c r="Q80" s="236" t="s">
        <v>84</v>
      </c>
      <c r="R80" s="237"/>
      <c r="S80" s="237" t="s">
        <v>85</v>
      </c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 t="s">
        <v>86</v>
      </c>
      <c r="AE80" s="238"/>
    </row>
    <row r="81" spans="1:31" ht="15.75" thickTop="1">
      <c r="A81" s="236" t="s">
        <v>84</v>
      </c>
      <c r="B81" s="237"/>
      <c r="C81" s="237" t="s">
        <v>85</v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 t="s">
        <v>86</v>
      </c>
      <c r="O81" s="238"/>
      <c r="Q81" s="230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9"/>
    </row>
    <row r="82" spans="1:31">
      <c r="A82" s="230" t="s">
        <v>476</v>
      </c>
      <c r="B82" s="231"/>
      <c r="C82" s="232" t="s">
        <v>480</v>
      </c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3"/>
      <c r="O82" s="234"/>
      <c r="Q82" s="235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4"/>
    </row>
    <row r="83" spans="1:31">
      <c r="A83" s="235"/>
      <c r="B83" s="233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3"/>
      <c r="O83" s="234"/>
      <c r="Q83" s="235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4"/>
    </row>
    <row r="84" spans="1:31">
      <c r="A84" s="235"/>
      <c r="B84" s="233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1"/>
      <c r="O84" s="239"/>
      <c r="Q84" s="235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4"/>
    </row>
    <row r="85" spans="1:31">
      <c r="A85" s="235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4"/>
      <c r="Q85" s="235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</row>
    <row r="86" spans="1:31">
      <c r="A86" s="235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4"/>
      <c r="Q86" s="235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4"/>
    </row>
    <row r="87" spans="1:31">
      <c r="A87" s="235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4"/>
      <c r="Q87" s="235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4"/>
    </row>
    <row r="88" spans="1:31">
      <c r="A88" s="235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4"/>
      <c r="Q88" s="235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4"/>
    </row>
    <row r="89" spans="1:31">
      <c r="A89" s="235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4"/>
      <c r="Q89" s="235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4"/>
    </row>
    <row r="90" spans="1:31" ht="15.75" thickBot="1">
      <c r="A90" s="235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4"/>
      <c r="Q90" s="240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2"/>
    </row>
    <row r="91" spans="1:31" ht="16.5" thickTop="1" thickBot="1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2"/>
    </row>
    <row r="92" spans="1:31" ht="16.5" thickTop="1" thickBot="1"/>
    <row r="93" spans="1:31" ht="17.25" thickTop="1" thickBot="1">
      <c r="A93" s="227" t="s">
        <v>87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9"/>
    </row>
    <row r="94" spans="1:31" ht="15.75" thickTop="1">
      <c r="A94" s="255" t="s">
        <v>88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7"/>
    </row>
    <row r="95" spans="1:31">
      <c r="A95" s="184" t="s">
        <v>89</v>
      </c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5"/>
    </row>
    <row r="96" spans="1:31">
      <c r="A96" s="184" t="s">
        <v>201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5"/>
    </row>
    <row r="97" spans="1:15">
      <c r="A97" s="184" t="s">
        <v>91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5"/>
    </row>
    <row r="98" spans="1:15">
      <c r="A98" s="18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5"/>
    </row>
    <row r="99" spans="1:15">
      <c r="A99" s="18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5"/>
    </row>
    <row r="100" spans="1:1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183"/>
    </row>
    <row r="101" spans="1:1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183"/>
    </row>
    <row r="102" spans="1:1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183"/>
    </row>
    <row r="103" spans="1:1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183"/>
    </row>
    <row r="104" spans="1:15" ht="15.75" thickBot="1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50"/>
    </row>
    <row r="105" spans="1:15" ht="15.75" thickTop="1"/>
    <row r="116" spans="21:21">
      <c r="U116" s="5"/>
    </row>
    <row r="129" spans="21:21">
      <c r="U129" s="5"/>
    </row>
    <row r="151" ht="15.75" customHeight="1"/>
    <row r="205" spans="19:19">
      <c r="S205" s="5"/>
    </row>
  </sheetData>
  <protectedRanges>
    <protectedRange password="EC6D" sqref="A15:H16 B29:C30 B32:C37 B38 B31 B28 D27:N27 A20:O21 J15:K18 A22:C24 A8:O9 A11:B13 E11:F12 E17:H17 L29:N30 L32:N36 H24:O25 L39:N44 B39:C44 B64 I11:J12 R45:R47" name="Plage2"/>
    <protectedRange password="EC6D" sqref="C64 S45 S48" name="Plage2_2"/>
    <protectedRange password="EC6D" sqref="M10:O10" name="Plage1_1"/>
    <protectedRange password="EC6D" sqref="M11:O11" name="Plage1_2"/>
    <protectedRange password="EC6D" sqref="M12:O12" name="Plage1_3"/>
    <protectedRange password="EC6D" sqref="M13:O13" name="Plage1_4"/>
    <protectedRange password="EC6D" sqref="A10:B10" name="Plage2_3"/>
    <protectedRange password="EC6D" sqref="C98" name="Plage2_2_2_1_1_1"/>
    <protectedRange password="EC6D" sqref="D24:G24" name="Plage2_1"/>
    <protectedRange password="EC6D" sqref="B45" name="Plage2_4_2"/>
    <protectedRange password="EC6D" sqref="L63:N63 C63 L65:N65 C65 AB46:AD47 S46:S47" name="Plage2_4_1"/>
    <protectedRange password="EC6D" sqref="B46:B47" name="Plage2_4_1_1_1"/>
    <protectedRange password="EC6D" sqref="B48" name="Plage2_4_1_1_2"/>
    <protectedRange password="EC6D" sqref="B49" name="Plage2_4_1_1_3"/>
    <protectedRange password="EC6D" sqref="B50:B51" name="Plage2_4_2_1"/>
    <protectedRange password="EC6D" sqref="B52" name="Plage2_4_2_3"/>
    <protectedRange password="EC6D" sqref="B53:B54" name="Plage2_4_2_4"/>
    <protectedRange password="EC6D" sqref="B58" name="Plage2_4_2_9"/>
    <protectedRange password="EC6D" sqref="B59" name="Plage2_4_2_10"/>
    <protectedRange password="EC6D" sqref="B60" name="Plage2_7"/>
    <protectedRange password="EC6D" sqref="B61" name="Plage2_4_2_11"/>
    <protectedRange password="EC6D" sqref="B62" name="Plage2_4_2_12"/>
    <protectedRange password="EC6D" sqref="B63" name="Plage2_4_2_13"/>
    <protectedRange password="EC6D" sqref="S50" name="Plage2_2_2_2_1_2_1_1"/>
    <protectedRange password="EC6D" sqref="B55" name="Plage2_4_2_4_1"/>
    <protectedRange password="EC6D" sqref="B56" name="Plage2_4_2_6_1"/>
    <protectedRange password="EC6D" sqref="B57" name="Plage2_4_2_7_1"/>
    <protectedRange password="EC6D" sqref="L57:N57 C57" name="Plage2_5_1_1"/>
    <protectedRange password="EC6D" sqref="C56" name="Plage2_2_1_1_1_1_1_1_1_1_1_1"/>
    <protectedRange password="EC6D" sqref="L48:N48 C48 L59:N59 C59 L61:N61 C61" name="Plage2_6_1_1_3_2"/>
    <protectedRange password="EC6D" sqref="C47 C60" name="Plage2_2_2_1_2_1_2_2_1"/>
    <protectedRange password="EC6D" sqref="C49:C50 C62 C45" name="Plage2_2_1"/>
    <protectedRange password="EC6D" sqref="C51" name="Plage2_2_2_2_1_2_1_2_1_1_1"/>
    <protectedRange password="EC6D" sqref="C52" name="Plage2_2_2_2_1_2_1_2_2_1_1"/>
    <protectedRange password="EC6D" sqref="C53" name="Plage2_2_2_2_1_2_1_2_2_2_1"/>
    <protectedRange password="EC6D" sqref="C54" name="Plage2_2_1_1_1_1_1_1_1_1_1_1_1"/>
    <protectedRange password="EC6D" sqref="C55" name="Plage2_2_1_1_1_1_1_1_1_1_1_1_2"/>
    <protectedRange password="EC6D" sqref="C58" name="Plage2_2_2_1_2_1_2_1_2_1_1_1"/>
    <protectedRange password="EC6D" sqref="L46:N46 C46" name="Plage2_6_1_1_3_2_1"/>
  </protectedRanges>
  <mergeCells count="378">
    <mergeCell ref="A102:O102"/>
    <mergeCell ref="A103:O103"/>
    <mergeCell ref="A104:O104"/>
    <mergeCell ref="A96:O96"/>
    <mergeCell ref="A97:O97"/>
    <mergeCell ref="A98:O98"/>
    <mergeCell ref="A99:O99"/>
    <mergeCell ref="A100:O100"/>
    <mergeCell ref="A101:O101"/>
    <mergeCell ref="A91:B91"/>
    <mergeCell ref="C91:M91"/>
    <mergeCell ref="N91:O91"/>
    <mergeCell ref="A93:O93"/>
    <mergeCell ref="A94:O94"/>
    <mergeCell ref="A95:O95"/>
    <mergeCell ref="A90:B90"/>
    <mergeCell ref="C90:M90"/>
    <mergeCell ref="N90:O90"/>
    <mergeCell ref="Q90:R90"/>
    <mergeCell ref="S90:AC90"/>
    <mergeCell ref="AD90:AE90"/>
    <mergeCell ref="A89:B89"/>
    <mergeCell ref="C89:M89"/>
    <mergeCell ref="N89:O89"/>
    <mergeCell ref="Q89:R89"/>
    <mergeCell ref="S89:AC89"/>
    <mergeCell ref="AD89:AE89"/>
    <mergeCell ref="A88:B88"/>
    <mergeCell ref="C88:M88"/>
    <mergeCell ref="N88:O88"/>
    <mergeCell ref="Q88:R88"/>
    <mergeCell ref="S88:AC88"/>
    <mergeCell ref="AD88:AE88"/>
    <mergeCell ref="A87:B87"/>
    <mergeCell ref="C87:M87"/>
    <mergeCell ref="N87:O87"/>
    <mergeCell ref="Q87:R87"/>
    <mergeCell ref="S87:AC87"/>
    <mergeCell ref="AD87:AE87"/>
    <mergeCell ref="A86:B86"/>
    <mergeCell ref="C86:M86"/>
    <mergeCell ref="N86:O86"/>
    <mergeCell ref="Q86:R86"/>
    <mergeCell ref="S86:AC86"/>
    <mergeCell ref="AD86:AE86"/>
    <mergeCell ref="A85:B85"/>
    <mergeCell ref="C85:M85"/>
    <mergeCell ref="N85:O85"/>
    <mergeCell ref="Q85:R85"/>
    <mergeCell ref="S85:AC85"/>
    <mergeCell ref="AD85:AE85"/>
    <mergeCell ref="A84:B84"/>
    <mergeCell ref="C84:M84"/>
    <mergeCell ref="N84:O84"/>
    <mergeCell ref="Q84:R84"/>
    <mergeCell ref="S84:AC84"/>
    <mergeCell ref="AD84:AE84"/>
    <mergeCell ref="A83:B83"/>
    <mergeCell ref="C83:M83"/>
    <mergeCell ref="N83:O83"/>
    <mergeCell ref="Q83:R83"/>
    <mergeCell ref="S83:AC83"/>
    <mergeCell ref="AD83:AE83"/>
    <mergeCell ref="A82:B82"/>
    <mergeCell ref="C82:M82"/>
    <mergeCell ref="N82:O82"/>
    <mergeCell ref="Q82:R82"/>
    <mergeCell ref="S82:AC82"/>
    <mergeCell ref="AD82:AE82"/>
    <mergeCell ref="A81:B81"/>
    <mergeCell ref="C81:M81"/>
    <mergeCell ref="N81:O81"/>
    <mergeCell ref="Q81:R81"/>
    <mergeCell ref="S81:AC81"/>
    <mergeCell ref="AD81:AE81"/>
    <mergeCell ref="A79:B79"/>
    <mergeCell ref="C79:O79"/>
    <mergeCell ref="Q79:AE79"/>
    <mergeCell ref="A80:O80"/>
    <mergeCell ref="Q80:R80"/>
    <mergeCell ref="S80:AC80"/>
    <mergeCell ref="AD80:AE80"/>
    <mergeCell ref="A77:B77"/>
    <mergeCell ref="C77:O77"/>
    <mergeCell ref="Q77:R77"/>
    <mergeCell ref="S77:AE77"/>
    <mergeCell ref="A78:B78"/>
    <mergeCell ref="C78:O78"/>
    <mergeCell ref="Q78:R78"/>
    <mergeCell ref="S78:AE78"/>
    <mergeCell ref="A75:B75"/>
    <mergeCell ref="C75:O75"/>
    <mergeCell ref="Q75:R75"/>
    <mergeCell ref="S75:AE75"/>
    <mergeCell ref="A76:B76"/>
    <mergeCell ref="C76:O76"/>
    <mergeCell ref="Q76:R76"/>
    <mergeCell ref="S76:AE76"/>
    <mergeCell ref="A73:B73"/>
    <mergeCell ref="C73:O73"/>
    <mergeCell ref="Q73:R73"/>
    <mergeCell ref="S73:AE73"/>
    <mergeCell ref="A74:B74"/>
    <mergeCell ref="C74:O74"/>
    <mergeCell ref="Q74:R74"/>
    <mergeCell ref="S74:AE74"/>
    <mergeCell ref="A71:B71"/>
    <mergeCell ref="C71:O71"/>
    <mergeCell ref="Q71:R71"/>
    <mergeCell ref="S71:AE71"/>
    <mergeCell ref="A72:B72"/>
    <mergeCell ref="C72:O72"/>
    <mergeCell ref="Q72:R72"/>
    <mergeCell ref="S72:AE72"/>
    <mergeCell ref="A69:B69"/>
    <mergeCell ref="C69:O69"/>
    <mergeCell ref="Q69:R69"/>
    <mergeCell ref="S69:AE69"/>
    <mergeCell ref="A70:B70"/>
    <mergeCell ref="C70:O70"/>
    <mergeCell ref="Q70:R70"/>
    <mergeCell ref="S70:AE70"/>
    <mergeCell ref="Q66:AE66"/>
    <mergeCell ref="A67:O67"/>
    <mergeCell ref="Q67:R67"/>
    <mergeCell ref="S67:AE67"/>
    <mergeCell ref="A68:B68"/>
    <mergeCell ref="C68:O68"/>
    <mergeCell ref="Q68:R68"/>
    <mergeCell ref="S68:AE68"/>
    <mergeCell ref="A64:B64"/>
    <mergeCell ref="C64:O64"/>
    <mergeCell ref="Q64:R64"/>
    <mergeCell ref="S64:AE64"/>
    <mergeCell ref="A65:B65"/>
    <mergeCell ref="C65:O65"/>
    <mergeCell ref="A62:B62"/>
    <mergeCell ref="C62:O62"/>
    <mergeCell ref="Q62:R62"/>
    <mergeCell ref="S62:AE62"/>
    <mergeCell ref="A63:B63"/>
    <mergeCell ref="C63:O63"/>
    <mergeCell ref="Q63:R63"/>
    <mergeCell ref="S63:AE63"/>
    <mergeCell ref="A60:B60"/>
    <mergeCell ref="C60:O60"/>
    <mergeCell ref="Q60:R60"/>
    <mergeCell ref="S60:AE60"/>
    <mergeCell ref="A61:B61"/>
    <mergeCell ref="C61:O61"/>
    <mergeCell ref="Q61:R61"/>
    <mergeCell ref="S61:AE61"/>
    <mergeCell ref="A58:B58"/>
    <mergeCell ref="C58:O58"/>
    <mergeCell ref="Q58:R58"/>
    <mergeCell ref="S58:AE58"/>
    <mergeCell ref="A59:B59"/>
    <mergeCell ref="C59:O59"/>
    <mergeCell ref="Q59:R59"/>
    <mergeCell ref="S59:AE59"/>
    <mergeCell ref="A56:B56"/>
    <mergeCell ref="C56:O56"/>
    <mergeCell ref="Q56:R56"/>
    <mergeCell ref="S56:AE56"/>
    <mergeCell ref="A57:B57"/>
    <mergeCell ref="C57:O57"/>
    <mergeCell ref="Q57:R57"/>
    <mergeCell ref="S57:AE57"/>
    <mergeCell ref="A54:B54"/>
    <mergeCell ref="C54:O54"/>
    <mergeCell ref="Q54:R54"/>
    <mergeCell ref="S54:AE54"/>
    <mergeCell ref="A55:B55"/>
    <mergeCell ref="C55:O55"/>
    <mergeCell ref="Q55:R55"/>
    <mergeCell ref="S55:AE55"/>
    <mergeCell ref="A52:B52"/>
    <mergeCell ref="C52:O52"/>
    <mergeCell ref="Q52:R52"/>
    <mergeCell ref="S52:AE52"/>
    <mergeCell ref="A53:B53"/>
    <mergeCell ref="C53:O53"/>
    <mergeCell ref="Q53:R53"/>
    <mergeCell ref="S53:AE53"/>
    <mergeCell ref="A50:B50"/>
    <mergeCell ref="C50:O50"/>
    <mergeCell ref="Q50:R50"/>
    <mergeCell ref="S50:AE50"/>
    <mergeCell ref="A51:B51"/>
    <mergeCell ref="C51:O51"/>
    <mergeCell ref="Q51:R51"/>
    <mergeCell ref="S51:AE51"/>
    <mergeCell ref="A48:B48"/>
    <mergeCell ref="C48:O48"/>
    <mergeCell ref="Q48:R48"/>
    <mergeCell ref="S48:AE48"/>
    <mergeCell ref="A49:B49"/>
    <mergeCell ref="C49:O49"/>
    <mergeCell ref="Q49:R49"/>
    <mergeCell ref="S49:AE49"/>
    <mergeCell ref="A46:B46"/>
    <mergeCell ref="C46:O46"/>
    <mergeCell ref="Q46:R46"/>
    <mergeCell ref="S46:AE46"/>
    <mergeCell ref="A47:B47"/>
    <mergeCell ref="C47:O47"/>
    <mergeCell ref="Q47:R47"/>
    <mergeCell ref="S47:AE47"/>
    <mergeCell ref="Q44:R44"/>
    <mergeCell ref="S44:AE44"/>
    <mergeCell ref="A45:B45"/>
    <mergeCell ref="C45:O45"/>
    <mergeCell ref="Q45:R45"/>
    <mergeCell ref="S45:AE45"/>
    <mergeCell ref="B42:C42"/>
    <mergeCell ref="D42:G42"/>
    <mergeCell ref="H42:K42"/>
    <mergeCell ref="L42:N42"/>
    <mergeCell ref="A44:B44"/>
    <mergeCell ref="C44:O44"/>
    <mergeCell ref="B40:C40"/>
    <mergeCell ref="D40:G40"/>
    <mergeCell ref="H40:K40"/>
    <mergeCell ref="L40:N40"/>
    <mergeCell ref="B41:C41"/>
    <mergeCell ref="D41:G41"/>
    <mergeCell ref="H41:K41"/>
    <mergeCell ref="L41:N41"/>
    <mergeCell ref="B37:C37"/>
    <mergeCell ref="D37:N37"/>
    <mergeCell ref="B38:N38"/>
    <mergeCell ref="B39:C39"/>
    <mergeCell ref="D39:G39"/>
    <mergeCell ref="H39:K39"/>
    <mergeCell ref="L39:N39"/>
    <mergeCell ref="B35:C35"/>
    <mergeCell ref="D35:G35"/>
    <mergeCell ref="H35:K35"/>
    <mergeCell ref="L35:N35"/>
    <mergeCell ref="B36:C36"/>
    <mergeCell ref="D36:G36"/>
    <mergeCell ref="H36:K36"/>
    <mergeCell ref="L36:N36"/>
    <mergeCell ref="B33:C33"/>
    <mergeCell ref="D33:G33"/>
    <mergeCell ref="H33:K33"/>
    <mergeCell ref="L33:N33"/>
    <mergeCell ref="B34:C34"/>
    <mergeCell ref="D34:G34"/>
    <mergeCell ref="H34:K34"/>
    <mergeCell ref="L34:N34"/>
    <mergeCell ref="B30:C30"/>
    <mergeCell ref="D30:G30"/>
    <mergeCell ref="H30:K30"/>
    <mergeCell ref="L30:N30"/>
    <mergeCell ref="B31:N31"/>
    <mergeCell ref="B32:C32"/>
    <mergeCell ref="D32:G32"/>
    <mergeCell ref="H32:K32"/>
    <mergeCell ref="L32:N32"/>
    <mergeCell ref="B28:N28"/>
    <mergeCell ref="Q28:V28"/>
    <mergeCell ref="B29:C29"/>
    <mergeCell ref="D29:G29"/>
    <mergeCell ref="H29:K29"/>
    <mergeCell ref="L29:N29"/>
    <mergeCell ref="D25:G25"/>
    <mergeCell ref="H25:K25"/>
    <mergeCell ref="L25:O25"/>
    <mergeCell ref="Q25:V25"/>
    <mergeCell ref="Q26:V26"/>
    <mergeCell ref="D27:G27"/>
    <mergeCell ref="H27:K27"/>
    <mergeCell ref="L27:N27"/>
    <mergeCell ref="Q27:V27"/>
    <mergeCell ref="A23:C23"/>
    <mergeCell ref="D23:G23"/>
    <mergeCell ref="H23:K23"/>
    <mergeCell ref="L23:O23"/>
    <mergeCell ref="Q23:V23"/>
    <mergeCell ref="A24:C24"/>
    <mergeCell ref="D24:G24"/>
    <mergeCell ref="H24:K24"/>
    <mergeCell ref="L24:O24"/>
    <mergeCell ref="Q24:V24"/>
    <mergeCell ref="A21:C21"/>
    <mergeCell ref="D21:G21"/>
    <mergeCell ref="H21:K21"/>
    <mergeCell ref="L21:O21"/>
    <mergeCell ref="Q21:V21"/>
    <mergeCell ref="A22:C22"/>
    <mergeCell ref="D22:G22"/>
    <mergeCell ref="H22:K22"/>
    <mergeCell ref="L22:O22"/>
    <mergeCell ref="Q22:V22"/>
    <mergeCell ref="Q17:V17"/>
    <mergeCell ref="J18:K18"/>
    <mergeCell ref="L18:M18"/>
    <mergeCell ref="Q18:V18"/>
    <mergeCell ref="Q19:V19"/>
    <mergeCell ref="A20:O20"/>
    <mergeCell ref="Q20:V20"/>
    <mergeCell ref="A17:B17"/>
    <mergeCell ref="C17:D17"/>
    <mergeCell ref="E17:F17"/>
    <mergeCell ref="G17:H17"/>
    <mergeCell ref="J17:K17"/>
    <mergeCell ref="L17:M17"/>
    <mergeCell ref="M13:O13"/>
    <mergeCell ref="A15:H15"/>
    <mergeCell ref="J15:K15"/>
    <mergeCell ref="L15:M15"/>
    <mergeCell ref="A16:B16"/>
    <mergeCell ref="C16:D16"/>
    <mergeCell ref="E16:F16"/>
    <mergeCell ref="G16:H16"/>
    <mergeCell ref="J16:K16"/>
    <mergeCell ref="L16:M16"/>
    <mergeCell ref="A13:B13"/>
    <mergeCell ref="C13:D13"/>
    <mergeCell ref="E13:F13"/>
    <mergeCell ref="G13:H13"/>
    <mergeCell ref="I13:J13"/>
    <mergeCell ref="K13:L13"/>
    <mergeCell ref="M11:O11"/>
    <mergeCell ref="A12:B12"/>
    <mergeCell ref="C12:D12"/>
    <mergeCell ref="E12:F12"/>
    <mergeCell ref="G12:H12"/>
    <mergeCell ref="I12:J12"/>
    <mergeCell ref="K12:L12"/>
    <mergeCell ref="M12:O12"/>
    <mergeCell ref="A11:B11"/>
    <mergeCell ref="C11:D11"/>
    <mergeCell ref="E11:F11"/>
    <mergeCell ref="G11:H11"/>
    <mergeCell ref="I11:J11"/>
    <mergeCell ref="K11:L11"/>
    <mergeCell ref="M9:O9"/>
    <mergeCell ref="A10:B10"/>
    <mergeCell ref="C10:D10"/>
    <mergeCell ref="E10:F10"/>
    <mergeCell ref="G10:H10"/>
    <mergeCell ref="I10:J10"/>
    <mergeCell ref="K10:L10"/>
    <mergeCell ref="M10:O10"/>
    <mergeCell ref="A9:B9"/>
    <mergeCell ref="C9:D9"/>
    <mergeCell ref="E9:F9"/>
    <mergeCell ref="G9:H9"/>
    <mergeCell ref="I9:J9"/>
    <mergeCell ref="K9:L9"/>
    <mergeCell ref="A6:C6"/>
    <mergeCell ref="D6:F6"/>
    <mergeCell ref="G6:I6"/>
    <mergeCell ref="J6:L6"/>
    <mergeCell ref="M6:O6"/>
    <mergeCell ref="A8:O8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1:O1"/>
    <mergeCell ref="D2:F2"/>
    <mergeCell ref="G2:I2"/>
    <mergeCell ref="J2:L2"/>
    <mergeCell ref="M2:O2"/>
    <mergeCell ref="A3:C3"/>
    <mergeCell ref="D3:F3"/>
    <mergeCell ref="G3:I3"/>
    <mergeCell ref="J3:L3"/>
    <mergeCell ref="M3:O3"/>
  </mergeCells>
  <conditionalFormatting sqref="A17 C17 E17:F17">
    <cfRule type="containsText" dxfId="20" priority="18" operator="containsText" text="Erreur">
      <formula>NOT(ISERROR(SEARCH("Erreur",A17)))</formula>
    </cfRule>
    <cfRule type="containsText" dxfId="19" priority="19" operator="containsText" text="Erreur">
      <formula>NOT(ISERROR(SEARCH("Erreur",A17)))</formula>
    </cfRule>
    <cfRule type="containsText" dxfId="18" priority="20" operator="containsText" text="Erreur">
      <formula>NOT(ISERROR(SEARCH("Erreur",A17)))</formula>
    </cfRule>
    <cfRule type="cellIs" dxfId="17" priority="21" operator="lessThan">
      <formula>0</formula>
    </cfRule>
  </conditionalFormatting>
  <conditionalFormatting sqref="R11">
    <cfRule type="containsText" dxfId="16" priority="17" operator="containsText" text="Erreur">
      <formula>NOT(ISERROR(SEARCH("Erreur",R11)))</formula>
    </cfRule>
  </conditionalFormatting>
  <conditionalFormatting sqref="H24:L24">
    <cfRule type="containsText" dxfId="15" priority="16" operator="containsText" text="Erreur">
      <formula>NOT(ISERROR(SEARCH("Erreur",H24)))</formula>
    </cfRule>
  </conditionalFormatting>
  <conditionalFormatting sqref="L29:N30 L32:N36">
    <cfRule type="cellIs" dxfId="14" priority="15" operator="equal">
      <formula>"Erreur"</formula>
    </cfRule>
  </conditionalFormatting>
  <conditionalFormatting sqref="M10 M11:O13">
    <cfRule type="cellIs" dxfId="13" priority="13" operator="equal">
      <formula>"-"</formula>
    </cfRule>
    <cfRule type="cellIs" dxfId="12" priority="14" operator="equal">
      <formula>"Erreur"</formula>
    </cfRule>
  </conditionalFormatting>
  <conditionalFormatting sqref="A17:D17 L25:O25 G17:H17 L29:N30 L32:N36">
    <cfRule type="cellIs" dxfId="11" priority="12" operator="equal">
      <formula>"-"</formula>
    </cfRule>
  </conditionalFormatting>
  <conditionalFormatting sqref="E17:F17">
    <cfRule type="cellIs" dxfId="10" priority="7" operator="equal">
      <formula>"-"</formula>
    </cfRule>
    <cfRule type="containsText" dxfId="9" priority="8" operator="containsText" text="Erreur">
      <formula>NOT(ISERROR(SEARCH("Erreur",E17)))</formula>
    </cfRule>
    <cfRule type="containsText" dxfId="8" priority="9" operator="containsText" text="Erreur">
      <formula>NOT(ISERROR(SEARCH("Erreur",E17)))</formula>
    </cfRule>
    <cfRule type="containsText" dxfId="7" priority="10" operator="containsText" text="Erreur">
      <formula>NOT(ISERROR(SEARCH("Erreur",E17)))</formula>
    </cfRule>
    <cfRule type="cellIs" dxfId="6" priority="11" operator="lessThan">
      <formula>0</formula>
    </cfRule>
  </conditionalFormatting>
  <conditionalFormatting sqref="D24:O24">
    <cfRule type="cellIs" dxfId="5" priority="5" operator="equal">
      <formula>"-"</formula>
    </cfRule>
    <cfRule type="containsText" dxfId="4" priority="6" operator="containsText" text="Erreur">
      <formula>NOT(ISERROR(SEARCH("Erreur",D24)))</formula>
    </cfRule>
  </conditionalFormatting>
  <conditionalFormatting sqref="L39:N42">
    <cfRule type="cellIs" dxfId="3" priority="3" operator="equal">
      <formula>"Erreur"</formula>
    </cfRule>
    <cfRule type="cellIs" dxfId="2" priority="4" operator="equal">
      <formula>"-"</formula>
    </cfRule>
  </conditionalFormatting>
  <conditionalFormatting sqref="D24:G24">
    <cfRule type="cellIs" dxfId="1" priority="1" operator="equal">
      <formula>"-"</formula>
    </cfRule>
    <cfRule type="containsText" dxfId="0" priority="2" operator="containsText" text="Erreur">
      <formula>NOT(ISERROR(SEARCH("Erreur",D24)))</formula>
    </cfRule>
  </conditionalFormatting>
  <dataValidations count="6">
    <dataValidation type="list" allowBlank="1" showInputMessage="1" showErrorMessage="1" sqref="D6:O6">
      <formula1>$W$6:$W$9</formula1>
    </dataValidation>
    <dataValidation type="list" allowBlank="1" showInputMessage="1" showErrorMessage="1" sqref="D4:O4">
      <formula1>$U$6:$U$9</formula1>
    </dataValidation>
    <dataValidation type="list" allowBlank="1" showInputMessage="1" showErrorMessage="1" sqref="D3:O3">
      <formula1>$T$6:$T$9</formula1>
    </dataValidation>
    <dataValidation type="list" allowBlank="1" showInputMessage="1" showErrorMessage="1" sqref="L18:M18">
      <formula1>$S$9:$S$13</formula1>
    </dataValidation>
    <dataValidation type="list" showInputMessage="1" showErrorMessage="1" sqref="N18">
      <formula1>liste1</formula1>
    </dataValidation>
    <dataValidation type="list" allowBlank="1" showInputMessage="1" showErrorMessage="1" sqref="D5:O5">
      <formula1>$V$6:$V$9</formula1>
    </dataValidation>
  </dataValidations>
  <pageMargins left="7.874015748031496E-2" right="7.874015748031496E-2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jour 01</vt:lpstr>
      <vt:lpstr>jour 02</vt:lpstr>
      <vt:lpstr>jour 03</vt:lpstr>
      <vt:lpstr>jour 04</vt:lpstr>
      <vt:lpstr>jour 05</vt:lpstr>
      <vt:lpstr>jour 06</vt:lpstr>
      <vt:lpstr>jour 07</vt:lpstr>
      <vt:lpstr>jour 08</vt:lpstr>
      <vt:lpstr>jour 09</vt:lpstr>
      <vt:lpstr>jour 10</vt:lpstr>
      <vt:lpstr>jour 11</vt:lpstr>
      <vt:lpstr>jour 12</vt:lpstr>
      <vt:lpstr>jour 13</vt:lpstr>
      <vt:lpstr>jour 14</vt:lpstr>
      <vt:lpstr>jour 15</vt:lpstr>
      <vt:lpstr>jour 16</vt:lpstr>
      <vt:lpstr>jour 17</vt:lpstr>
      <vt:lpstr>jour 18</vt:lpstr>
      <vt:lpstr>jour 19</vt:lpstr>
      <vt:lpstr>jour 20</vt:lpstr>
      <vt:lpstr>jour 21</vt:lpstr>
      <vt:lpstr>jour 22</vt:lpstr>
      <vt:lpstr>jour 23</vt:lpstr>
      <vt:lpstr>jour 24</vt:lpstr>
      <vt:lpstr>jour 25</vt:lpstr>
      <vt:lpstr>jour 26</vt:lpstr>
      <vt:lpstr>jour 27</vt:lpstr>
      <vt:lpstr>jour 28</vt:lpstr>
      <vt:lpstr>jour 29</vt:lpstr>
      <vt:lpstr>jour 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SCTG</dc:creator>
  <cp:lastModifiedBy>SCTG</cp:lastModifiedBy>
  <dcterms:created xsi:type="dcterms:W3CDTF">2026-02-01T06:04:20Z</dcterms:created>
  <dcterms:modified xsi:type="dcterms:W3CDTF">2026-04-30T23:05:07Z</dcterms:modified>
</cp:coreProperties>
</file>